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ETERCGS\Desktop\SuriyartForLife\Horatad-all-Github\GitHub_DL\"/>
    </mc:Choice>
  </mc:AlternateContent>
  <xr:revisionPtr revIDLastSave="0" documentId="8_{84CAB689-4009-494F-A229-9BE5A70CE81F}" xr6:coauthVersionLast="47" xr6:coauthVersionMax="47" xr10:uidLastSave="{00000000-0000-0000-0000-000000000000}"/>
  <bookViews>
    <workbookView xWindow="760" yWindow="600" windowWidth="9620" windowHeight="10200" activeTab="1" xr2:uid="{00000000-000D-0000-FFFF-FFFF00000000}"/>
  </bookViews>
  <sheets>
    <sheet name="tb_planets" sheetId="1" r:id="rId1"/>
    <sheet name="tb_zodiacs" sheetId="2" r:id="rId2"/>
    <sheet name="tb_houses" sheetId="3" r:id="rId3"/>
    <sheet name="tb_standards" sheetId="4" r:id="rId4"/>
    <sheet name="tb_aspects" sheetId="5" r:id="rId5"/>
    <sheet name="tb_anchor_points" sheetId="6" r:id="rId6"/>
    <sheet name="tb_categories" sheetId="7" r:id="rId7"/>
    <sheet name="tb_pairs" sheetId="8" r:id="rId8"/>
    <sheet name="tb_predictions" sheetId="9" r:id="rId9"/>
    <sheet name="tb_prediction_conditions" sheetId="10" r:id="rId10"/>
    <sheet name="README" sheetId="11" r:id="rId11"/>
  </sheets>
  <definedNames>
    <definedName name="_xlnm._FilterDatabase" localSheetId="4" hidden="1">tb_aspects!$A$2:$A$2</definedName>
    <definedName name="_xlnm._FilterDatabase" localSheetId="6" hidden="1">tb_categories!$A$2:$A$2</definedName>
    <definedName name="_xlnm._FilterDatabase" localSheetId="2" hidden="1">tb_houses!$A$2:$A$2</definedName>
    <definedName name="_xlnm._FilterDatabase" localSheetId="7" hidden="1">tb_pairs!$A$2:$A$2</definedName>
    <definedName name="_xlnm._FilterDatabase" localSheetId="0" hidden="1">tb_planets!$A$2:$A$2</definedName>
    <definedName name="_xlnm._FilterDatabase" localSheetId="8" hidden="1">tb_predictions!$A$2:$A$2</definedName>
    <definedName name="_xlnm._FilterDatabase" localSheetId="3" hidden="1">tb_standards!$A$2:$A$2</definedName>
    <definedName name="_xlnm._FilterDatabase" localSheetId="1" hidden="1">tb_zodiacs!$A$2:$A$2</definedName>
  </definedNames>
  <calcPr calcId="181029"/>
  <fileRecoveryPr repairLoad="1"/>
</workbook>
</file>

<file path=xl/calcChain.xml><?xml version="1.0" encoding="utf-8"?>
<calcChain xmlns="http://schemas.openxmlformats.org/spreadsheetml/2006/main">
  <c r="B19" i="11" l="1"/>
  <c r="B15" i="11"/>
  <c r="B14" i="11"/>
</calcChain>
</file>

<file path=xl/sharedStrings.xml><?xml version="1.0" encoding="utf-8"?>
<sst xmlns="http://schemas.openxmlformats.org/spreadsheetml/2006/main" count="3234" uniqueCount="1632">
  <si>
    <t>planet_id</t>
  </si>
  <si>
    <t>code</t>
  </si>
  <si>
    <t>name_th</t>
  </si>
  <si>
    <t>name_en</t>
  </si>
  <si>
    <t>symbol_th</t>
  </si>
  <si>
    <t>element</t>
  </si>
  <si>
    <t>nature</t>
  </si>
  <si>
    <t>keywords_th</t>
  </si>
  <si>
    <t>engine_index</t>
  </si>
  <si>
    <t>notes</t>
  </si>
  <si>
    <t>transit_weight</t>
  </si>
  <si>
    <t>SU</t>
  </si>
  <si>
    <t>อาทิตย์</t>
  </si>
  <si>
    <t>Sun</t>
  </si>
  <si>
    <t>๑</t>
  </si>
  <si>
    <t>ไฟ</t>
  </si>
  <si>
    <t>บาปเคราะห์</t>
  </si>
  <si>
    <t>หยิ่ง รักหน้า อำนาจ ผู้นำ ego</t>
  </si>
  <si>
    <t>trigger/จุดชนวน</t>
  </si>
  <si>
    <t>MO</t>
  </si>
  <si>
    <t>จันทร์</t>
  </si>
  <si>
    <t>Moon</t>
  </si>
  <si>
    <t>๒</t>
  </si>
  <si>
    <t>น้ำ</t>
  </si>
  <si>
    <t>ศุภเคราะห์</t>
  </si>
  <si>
    <t>อ่อนหวาน เสน่ห์ อารมณ์ มารยาท</t>
  </si>
  <si>
    <t>MA</t>
  </si>
  <si>
    <t>อังคาร</t>
  </si>
  <si>
    <t>Mars</t>
  </si>
  <si>
    <t>๓</t>
  </si>
  <si>
    <t>ขยัน แข็ง กล้า ใจร้อน ตรรกะ</t>
  </si>
  <si>
    <t>ME</t>
  </si>
  <si>
    <t>พุธ</t>
  </si>
  <si>
    <t>Mercury</t>
  </si>
  <si>
    <t>๔</t>
  </si>
  <si>
    <t>ดิน</t>
  </si>
  <si>
    <t>ละเอียด ช่างพูด สื่อสาร ปัญญา</t>
  </si>
  <si>
    <t>JU</t>
  </si>
  <si>
    <t>พฤหัส</t>
  </si>
  <si>
    <t>Jupiter</t>
  </si>
  <si>
    <t>๕</t>
  </si>
  <si>
    <t>คุณธรรม เมตตา สติ ผู้ใหญ่</t>
  </si>
  <si>
    <t>VE</t>
  </si>
  <si>
    <t>ศุกร์</t>
  </si>
  <si>
    <t>Venus</t>
  </si>
  <si>
    <t>๖</t>
  </si>
  <si>
    <t>ศิลปะ กำหนัด ความงาม จินตนาการ</t>
  </si>
  <si>
    <t>SA</t>
  </si>
  <si>
    <t>เสาร์</t>
  </si>
  <si>
    <t>Saturn</t>
  </si>
  <si>
    <t>๗</t>
  </si>
  <si>
    <t>ลม</t>
  </si>
  <si>
    <t>คิดมาก อดทน ช้า ที่ดิน เกษตร</t>
  </si>
  <si>
    <t>RA</t>
  </si>
  <si>
    <t>ราหู</t>
  </si>
  <si>
    <t>Rahu</t>
  </si>
  <si>
    <t>๘</t>
  </si>
  <si>
    <t>ลุ่มหลง เล่ห์ หุ้น อบายมุข</t>
  </si>
  <si>
    <t>ดาวสมมุติ</t>
  </si>
  <si>
    <t>KE</t>
  </si>
  <si>
    <t>เกตุ</t>
  </si>
  <si>
    <t>Ketu</t>
  </si>
  <si>
    <t>๙</t>
  </si>
  <si>
    <t>-</t>
  </si>
  <si>
    <t>ทวีคูณ ดีก็ดีขึ้น เสียก็เสียขึ้น</t>
  </si>
  <si>
    <t>MR</t>
  </si>
  <si>
    <t>มฤตยู</t>
  </si>
  <si>
    <t>Mrityu</t>
  </si>
  <si>
    <t>๐</t>
  </si>
  <si>
    <t>แปรปรวน เปลี่ยนแปลง สุขภาพ อุบัติเหตุ</t>
  </si>
  <si>
    <t>zodiac_id</t>
  </si>
  <si>
    <t>kaset_code</t>
  </si>
  <si>
    <t>kaset_planet_id</t>
  </si>
  <si>
    <t>exalt_code</t>
  </si>
  <si>
    <t>exalt_planet_id</t>
  </si>
  <si>
    <t>ME_AR</t>
  </si>
  <si>
    <t>เมษ</t>
  </si>
  <si>
    <t>Aries</t>
  </si>
  <si>
    <t>เกษตรอังคาร มหาอุจอาทิตย์</t>
  </si>
  <si>
    <t>ME_TA</t>
  </si>
  <si>
    <t>พฤษภ</t>
  </si>
  <si>
    <t>Taurus</t>
  </si>
  <si>
    <t>เกษตรศุกร์ มหาอุจจันทร์</t>
  </si>
  <si>
    <t>ME_GE</t>
  </si>
  <si>
    <t>เมถุน</t>
  </si>
  <si>
    <t>Gemini</t>
  </si>
  <si>
    <t>เกษตรพุธ</t>
  </si>
  <si>
    <t>ME_CA</t>
  </si>
  <si>
    <t>กรกฎ</t>
  </si>
  <si>
    <t>Cancer</t>
  </si>
  <si>
    <t>เกษตรจันทร์ มหาอุจพฤหัส</t>
  </si>
  <si>
    <t>ME_LE</t>
  </si>
  <si>
    <t>สิงห์</t>
  </si>
  <si>
    <t>Leo</t>
  </si>
  <si>
    <t>เกษตรอาทิตย์</t>
  </si>
  <si>
    <t>ME_VI</t>
  </si>
  <si>
    <t>กันย์</t>
  </si>
  <si>
    <t>Virgo</t>
  </si>
  <si>
    <t>ME_LI</t>
  </si>
  <si>
    <t>ตุลย์</t>
  </si>
  <si>
    <t>Libra</t>
  </si>
  <si>
    <t>เกษตรศุกร์ มหาอุจเสาร์</t>
  </si>
  <si>
    <t>ME_SC</t>
  </si>
  <si>
    <t>พิจิก</t>
  </si>
  <si>
    <t>Scorpio</t>
  </si>
  <si>
    <t>เกษตรอังคาร</t>
  </si>
  <si>
    <t>ME_SA</t>
  </si>
  <si>
    <t>ธนู</t>
  </si>
  <si>
    <t>Sagittarius</t>
  </si>
  <si>
    <t>เกษตรพฤหัส</t>
  </si>
  <si>
    <t>ME_CA2</t>
  </si>
  <si>
    <t>มังกร</t>
  </si>
  <si>
    <t>Capricorn</t>
  </si>
  <si>
    <t>เกษตรเสาร์ มหาอุจอังคาร</t>
  </si>
  <si>
    <t>ME_AQ</t>
  </si>
  <si>
    <t>กุมภ์</t>
  </si>
  <si>
    <t>Aquarius</t>
  </si>
  <si>
    <t>เกษตรเสาร์</t>
  </si>
  <si>
    <t>ME_PI</t>
  </si>
  <si>
    <t>มีน</t>
  </si>
  <si>
    <t>Pisces</t>
  </si>
  <si>
    <t>เกษตรพฤหัส มหาอุจศุกร์</t>
  </si>
  <si>
    <t>house_id</t>
  </si>
  <si>
    <t>house_type</t>
  </si>
  <si>
    <t>quality</t>
  </si>
  <si>
    <t>domain_th</t>
  </si>
  <si>
    <t>importance_pct</t>
  </si>
  <si>
    <t>H01_TANU</t>
  </si>
  <si>
    <t>ตนุ</t>
  </si>
  <si>
    <t>1st House</t>
  </si>
  <si>
    <t>ตรีโกณ</t>
  </si>
  <si>
    <t>ดีมาก</t>
  </si>
  <si>
    <t>ตัวตน บุคลิก สุขภาพ</t>
  </si>
  <si>
    <t>นิสัย ร่างกาย บุคลิกภาพ ตัวเอง</t>
  </si>
  <si>
    <t>H02_DHANA</t>
  </si>
  <si>
    <t>กฎุมพะ</t>
  </si>
  <si>
    <t>2nd House</t>
  </si>
  <si>
    <t>ปณปติ</t>
  </si>
  <si>
    <t>ดี</t>
  </si>
  <si>
    <t>ทรัพย์สิน การเงิน</t>
  </si>
  <si>
    <t>เงิน ทรัพย์ รายได้ สมบัติ</t>
  </si>
  <si>
    <t>H03_SAHA</t>
  </si>
  <si>
    <t>สหัชชะ</t>
  </si>
  <si>
    <t>3rd House</t>
  </si>
  <si>
    <t>อุปจัย</t>
  </si>
  <si>
    <t>กลาง</t>
  </si>
  <si>
    <t>พี่น้อง สื่อสาร</t>
  </si>
  <si>
    <t>พี่น้อง การเดินทางใกล้ สื่อสาร</t>
  </si>
  <si>
    <t>H04_BANDU</t>
  </si>
  <si>
    <t>พันธุ</t>
  </si>
  <si>
    <t>4th House</t>
  </si>
  <si>
    <t>บ้าน ครอบครัว</t>
  </si>
  <si>
    <t>บ้าน แม่ ที่ดิน ความสุขใจ</t>
  </si>
  <si>
    <t>H05_PUTRA</t>
  </si>
  <si>
    <t>ปุตตะ</t>
  </si>
  <si>
    <t>5th House</t>
  </si>
  <si>
    <t>บุตร ปัญญา</t>
  </si>
  <si>
    <t>ลูก ความฉลาด การลงทุน ความรัก</t>
  </si>
  <si>
    <t>H06_ARI</t>
  </si>
  <si>
    <t>อริ</t>
  </si>
  <si>
    <t>6th House</t>
  </si>
  <si>
    <t>ทุสถาน</t>
  </si>
  <si>
    <t>เสีย</t>
  </si>
  <si>
    <t>ศัตรู อุปสรรค</t>
  </si>
  <si>
    <t>ศัตรู โรค หนี้สิน อุปสรรค</t>
  </si>
  <si>
    <t>H07_PATNI</t>
  </si>
  <si>
    <t>ปัตนิ</t>
  </si>
  <si>
    <t>7th House</t>
  </si>
  <si>
    <t>กันตก</t>
  </si>
  <si>
    <t>คู่ครอง หุ้นส่วน</t>
  </si>
  <si>
    <t>แฟน คู่สมรส หุ้นส่วนธุรกิจ</t>
  </si>
  <si>
    <t>H08_MARANA</t>
  </si>
  <si>
    <t>มรณะ</t>
  </si>
  <si>
    <t>8th House</t>
  </si>
  <si>
    <t>เสียมาก</t>
  </si>
  <si>
    <t>ความตาย วิกฤต</t>
  </si>
  <si>
    <t>ตาย มรดก วิกฤต ความลึกลับ</t>
  </si>
  <si>
    <t>H09_SUPA</t>
  </si>
  <si>
    <t>ศุภะ</t>
  </si>
  <si>
    <t>9th House</t>
  </si>
  <si>
    <t>โชคลาภ ศาสนา</t>
  </si>
  <si>
    <t>โชค ศาสนา บิดา ครูอาจารย์</t>
  </si>
  <si>
    <t>H10_KAMMA</t>
  </si>
  <si>
    <t>กัมมะ</t>
  </si>
  <si>
    <t>10th House</t>
  </si>
  <si>
    <t>การงาน อาชีพ</t>
  </si>
  <si>
    <t>งาน ตำแหน่ง ชื่อเสียง อาชีพ</t>
  </si>
  <si>
    <t>H11_LAPHA</t>
  </si>
  <si>
    <t>ลาภะ</t>
  </si>
  <si>
    <t>11th House</t>
  </si>
  <si>
    <t>ลาภ มิตร</t>
  </si>
  <si>
    <t>กำไร มิตร รายได้พิเศษ โชคลาภ</t>
  </si>
  <si>
    <t>H12_WINAT</t>
  </si>
  <si>
    <t>วินาศ</t>
  </si>
  <si>
    <t>12th House</t>
  </si>
  <si>
    <t>การสูญเสีย</t>
  </si>
  <si>
    <t>สูญเสีย ต่างแดน โรงพยาบาล ปลีกวิเวก</t>
  </si>
  <si>
    <t>standard_id</t>
  </si>
  <si>
    <t>quality_group</t>
  </si>
  <si>
    <t>score</t>
  </si>
  <si>
    <t>getStandards_return</t>
  </si>
  <si>
    <t>description_th</t>
  </si>
  <si>
    <t>graph_analogy</t>
  </si>
  <si>
    <t>MAHA_UCH</t>
  </si>
  <si>
    <t>มหาอุจ</t>
  </si>
  <si>
    <t>ดีที่สุด สม่ำเสมอ ได้ด้วยความนิยม</t>
  </si>
  <si>
    <t>เส้นตรงแนวนอนระดับสูงสุด</t>
  </si>
  <si>
    <t>KASET</t>
  </si>
  <si>
    <t>เกษตร</t>
  </si>
  <si>
    <t>มั่นคง ค่อยๆดีขึ้น ยิ่งแก่ยิ่งดี</t>
  </si>
  <si>
    <t>กราฟเส้นตรงเอียงขึ้น 45°</t>
  </si>
  <si>
    <t>MAHA_CHAK</t>
  </si>
  <si>
    <t>มหาจักร</t>
  </si>
  <si>
    <t>ดีมาก(ไม่สม่ำเสมอ)</t>
  </si>
  <si>
    <t>ผาดโผน ได้เป็นก้อน ไม่แน่นอน</t>
  </si>
  <si>
    <t>กราฟขึ้นลงผาดโผน</t>
  </si>
  <si>
    <t>RACHA</t>
  </si>
  <si>
    <t>ราชาโชค</t>
  </si>
  <si>
    <t>ได้มาง่าย สบาย ไม่ต้องออกแรง</t>
  </si>
  <si>
    <t>เส้นแนวนอนปานกลางสม่ำเสมอ</t>
  </si>
  <si>
    <t>UCH_VIL</t>
  </si>
  <si>
    <t>อุจจาวิลาส</t>
  </si>
  <si>
    <t>ดีรอง</t>
  </si>
  <si>
    <t>ดี 60% ของมหาอุจ (ราศีก่อนถึงอุจ)</t>
  </si>
  <si>
    <t>ต่ำกว่ามหาอุจเล็กน้อย</t>
  </si>
  <si>
    <t>UCH_PHI</t>
  </si>
  <si>
    <t>อุจจาภิมุข</t>
  </si>
  <si>
    <t>ดี 60% ของมหาอุจ (ราศีถัดจากอุจ)</t>
  </si>
  <si>
    <t>CHUL_CHAK</t>
  </si>
  <si>
    <t>จุลจักร</t>
  </si>
  <si>
    <t>ดี 60% ของมหาจักร</t>
  </si>
  <si>
    <t>ผาดโผนแต่น้อยกว่ามหาจักร</t>
  </si>
  <si>
    <t>TEWI</t>
  </si>
  <si>
    <t>เทวีโชค</t>
  </si>
  <si>
    <t>ดี 60% ของราชาโชค</t>
  </si>
  <si>
    <t>ต่ำกว่าราชาโชคเล็กน้อย</t>
  </si>
  <si>
    <t>NORMAL</t>
  </si>
  <si>
    <t>ปกติ</t>
  </si>
  <si>
    <t>(ว่าง/ไม่ตรงเงื่อนไขใด)</t>
  </si>
  <si>
    <t>ไม่อยู่ในตำแหน่งพิเศษใด</t>
  </si>
  <si>
    <t>เส้นแนวนอนกลาง</t>
  </si>
  <si>
    <t>PRA_KASET</t>
  </si>
  <si>
    <t>ประเกษตร</t>
  </si>
  <si>
    <t>ประ</t>
  </si>
  <si>
    <t>เสื่อมถอยช้าๆ ยิ่งนานยิ่งเสื่อม</t>
  </si>
  <si>
    <t>กราฟเส้นตรงเอียงลง</t>
  </si>
  <si>
    <t>NIJ</t>
  </si>
  <si>
    <t>นิจ</t>
  </si>
  <si>
    <t>ด้อยสม่ำเสมอ ไม่ได้รับการยอมรับ</t>
  </si>
  <si>
    <t>เส้นแนวนอนต่ำ</t>
  </si>
  <si>
    <t>aspect_id</t>
  </si>
  <si>
    <t>houses_apart</t>
  </si>
  <si>
    <t>strength_pct</t>
  </si>
  <si>
    <t>inner_potential_weight</t>
  </si>
  <si>
    <t>NONE</t>
  </si>
  <si>
    <t>ไม่สัมพันธ์</t>
  </si>
  <si>
    <t>None</t>
  </si>
  <si>
    <t>ดาวไม่มีมุมสัมพันธ์กับลัคนา → ส่งผลเฉพาะอัจฉริยภาพภายใน</t>
  </si>
  <si>
    <t>KUM</t>
  </si>
  <si>
    <t>กุม</t>
  </si>
  <si>
    <t>Conjunction</t>
  </si>
  <si>
    <t>0 (ราศีเดียวกัน)</t>
  </si>
  <si>
    <t>ส่งกำลัง 100% — แรงที่สุด</t>
  </si>
  <si>
    <t>LENG</t>
  </si>
  <si>
    <t>เล็ง</t>
  </si>
  <si>
    <t>Opposition</t>
  </si>
  <si>
    <t>6 (ตรงข้าม)</t>
  </si>
  <si>
    <t>ส่งกำลัง 80%</t>
  </si>
  <si>
    <t>YOK</t>
  </si>
  <si>
    <t>โยค</t>
  </si>
  <si>
    <t>Sextile</t>
  </si>
  <si>
    <t>3 หรือ 11</t>
  </si>
  <si>
    <t>ส่งกำลัง 60%</t>
  </si>
  <si>
    <t>TRI</t>
  </si>
  <si>
    <t>Trine</t>
  </si>
  <si>
    <t>5 หรือ 9</t>
  </si>
  <si>
    <t>ส่งกำลัง 50%</t>
  </si>
  <si>
    <t>anchor_id</t>
  </si>
  <si>
    <t>LAGNA</t>
  </si>
  <si>
    <t>ลัคนา</t>
  </si>
  <si>
    <t>Ascendant</t>
  </si>
  <si>
    <t>จุดคำนวณ ไม่ใช่ดาว เปลี่ยนตามเวลาเกิด</t>
  </si>
  <si>
    <t>TANU_LAGNA</t>
  </si>
  <si>
    <t>ตนุลัคน์</t>
  </si>
  <si>
    <t>Ascendant Lord</t>
  </si>
  <si>
    <t>ดาวเกษตรของราศีลัคนา — แปรผันตามดวง</t>
  </si>
  <si>
    <t>TANU_SET</t>
  </si>
  <si>
    <t>ตนุเศษ</t>
  </si>
  <si>
    <t>Lagna Co-ruler</t>
  </si>
  <si>
    <t>ดาวที่ร่วมราศีกับลัคนา — อาจไม่มี</t>
  </si>
  <si>
    <t>category_id</t>
  </si>
  <si>
    <t>tag</t>
  </si>
  <si>
    <t>scope_th</t>
  </si>
  <si>
    <t>CAT_CAREER</t>
  </si>
  <si>
    <t>#career_status</t>
  </si>
  <si>
    <t>การงานและตำแหน่ง</t>
  </si>
  <si>
    <t>การเลื่อนขั้น เจ้านาย ธุรกิจ</t>
  </si>
  <si>
    <t>งาน ตำแหน่ง เจ้านาย ธุรกิจ เปลี่ยนงาน</t>
  </si>
  <si>
    <t>CAT_WEALTH</t>
  </si>
  <si>
    <t>#wealth_assets</t>
  </si>
  <si>
    <t>การเงินและทรัพย์สิน</t>
  </si>
  <si>
    <t>รายได้ รายจ่าย หนี้ การลงทุน</t>
  </si>
  <si>
    <t>เงิน โชคลาภ หนี้ ทรัพย์สิน การลงทุน</t>
  </si>
  <si>
    <t>CAT_LOVE</t>
  </si>
  <si>
    <t>#love_relationships</t>
  </si>
  <si>
    <t>ความรักและคู่ครอง</t>
  </si>
  <si>
    <t>ความสัมพันธ์ การแต่งงาน เสน่ห์</t>
  </si>
  <si>
    <t>แฟน แต่งงาน เนื้อคู่ ความรัก ทะเลาะ</t>
  </si>
  <si>
    <t>CAT_FAMILY</t>
  </si>
  <si>
    <t>#family_home</t>
  </si>
  <si>
    <t>ครอบครัวและที่อยู่อาศัย</t>
  </si>
  <si>
    <t>พ่อแม่ บุตร บริวาร ความสุขบ้าน</t>
  </si>
  <si>
    <t>พ่อแม่ ลูก บ้าน ครอบครัว เครือญาติ</t>
  </si>
  <si>
    <t>CAT_HEALTH</t>
  </si>
  <si>
    <t>#health_safety</t>
  </si>
  <si>
    <t>สุขภาพและอุบัติเหตุ</t>
  </si>
  <si>
    <t>โรคภัย ผ่าตัด ความเครียด อุบัติเหตุ</t>
  </si>
  <si>
    <t>ป่วย โรงพยาบาล อุบัติเหตุ ผ่าตัด สุขภาพ</t>
  </si>
  <si>
    <t>CAT_LEARN</t>
  </si>
  <si>
    <t>#intellect_learning</t>
  </si>
  <si>
    <t>การเรียนและปัญญา</t>
  </si>
  <si>
    <t>การศึกษา การสอบ ทักษะ ไหวพริบ</t>
  </si>
  <si>
    <t>เรียน สอบ ความรู้ ปัญญา ประกาศนียบัตร</t>
  </si>
  <si>
    <t>CAT_SOCIAL</t>
  </si>
  <si>
    <t>#social_connections</t>
  </si>
  <si>
    <t>สังคมและมิตรสหาย</t>
  </si>
  <si>
    <t>เพื่อน การเข้าสังคม ความช่วยเหลือ</t>
  </si>
  <si>
    <t>เพื่อน สังคม ผู้ใหญ่เมตตา มิตรสหาย</t>
  </si>
  <si>
    <t>CAT_TRAVEL</t>
  </si>
  <si>
    <t>#travel_migration</t>
  </si>
  <si>
    <t>การเดินทางและย้ายถิ่น</t>
  </si>
  <si>
    <t>เดินทางไกล ย้ายที่อยู่ ต่างประเทศ</t>
  </si>
  <si>
    <t>เดินทาง ต่างประเทศ ย้ายบ้าน ท่องเที่ยว</t>
  </si>
  <si>
    <t>CAT_LUCK</t>
  </si>
  <si>
    <t>#fortune_windfall</t>
  </si>
  <si>
    <t>โชคลาภไม่คาดฝัน</t>
  </si>
  <si>
    <t>เสี่ยงโชค ลาภลอย มรดก</t>
  </si>
  <si>
    <t>หวย ลาภลอย มรดก โชคดี</t>
  </si>
  <si>
    <t>CAT_INNER</t>
  </si>
  <si>
    <t>#inner_growth</t>
  </si>
  <si>
    <t>จิตใจและกรรมเก่า</t>
  </si>
  <si>
    <t>สภาวะจิตใจ ธรรม วิบาก เรื่องลึกลับ</t>
  </si>
  <si>
    <t>สมาธิ กรรม จิตใจ เรื่องเร้นลับ ปล่อยวาง</t>
  </si>
  <si>
    <t>pair_id</t>
  </si>
  <si>
    <t>pair_type</t>
  </si>
  <si>
    <t>planet_a_id</t>
  </si>
  <si>
    <t>code_a</t>
  </si>
  <si>
    <t>planet_b_id</t>
  </si>
  <si>
    <t>code_b</t>
  </si>
  <si>
    <t>effect_th</t>
  </si>
  <si>
    <t>modifier</t>
  </si>
  <si>
    <t>คู่มิตร</t>
  </si>
  <si>
    <t>PAIR_MIT_1-5</t>
  </si>
  <si>
    <t>มิตร อาทิตย์-พฤหัส</t>
  </si>
  <si>
    <t>ส่งเสริมกัน</t>
  </si>
  <si>
    <t>เพิ่มกำลัง</t>
  </si>
  <si>
    <t>PAIR_MIT_2-4</t>
  </si>
  <si>
    <t>มิตร จันทร์-พุธ</t>
  </si>
  <si>
    <t>PAIR_MIT_3-6</t>
  </si>
  <si>
    <t>มิตร อังคาร-ศุกร์</t>
  </si>
  <si>
    <t>PAIR_MIT_7-8</t>
  </si>
  <si>
    <t>มิตร เสาร์-ราหู</t>
  </si>
  <si>
    <t>ให้โชคใหญ่เมื่อสัมพันธ์ลัคนา</t>
  </si>
  <si>
    <t>คู่ธาตุ</t>
  </si>
  <si>
    <t>PAIR_ELE_1-7</t>
  </si>
  <si>
    <t>ธาตุ อาทิตย์-เสาร์</t>
  </si>
  <si>
    <t>เข้ากันได้สนิท</t>
  </si>
  <si>
    <t>ไฟ+ลม</t>
  </si>
  <si>
    <t>PAIR_ELE_2-5</t>
  </si>
  <si>
    <t>ธาตุ จันทร์-พฤหัส</t>
  </si>
  <si>
    <t>น้ำ+น้ำ</t>
  </si>
  <si>
    <t>PAIR_ELE_3-8</t>
  </si>
  <si>
    <t>ธาตุ อังคาร-ราหู</t>
  </si>
  <si>
    <t>PAIR_ELE_4-6</t>
  </si>
  <si>
    <t>ธาตุ พุธ-ศุกร์</t>
  </si>
  <si>
    <t>ดิน+น้ำ</t>
  </si>
  <si>
    <t>คู่สมพล</t>
  </si>
  <si>
    <t>PAIR_SOM_1-6</t>
  </si>
  <si>
    <t>สมพล อาทิตย์-ศุกร์</t>
  </si>
  <si>
    <t>รวมกันแรงขึ้น</t>
  </si>
  <si>
    <t>PAIR_SOM_2-8</t>
  </si>
  <si>
    <t>สมพล จันทร์-ราหู</t>
  </si>
  <si>
    <t>PAIR_SOM_3-5</t>
  </si>
  <si>
    <t>สมพล อังคาร-พฤหัส</t>
  </si>
  <si>
    <t>PAIR_SOM_4-7</t>
  </si>
  <si>
    <t>สมพล พุธ-เสาร์</t>
  </si>
  <si>
    <t>คู่ศัตรู</t>
  </si>
  <si>
    <t>PAIR_ENE_1-3</t>
  </si>
  <si>
    <t>ศัตรู อาทิตย์-อังคาร</t>
  </si>
  <si>
    <t>บั่นทอนกัน</t>
  </si>
  <si>
    <t>ลดกำลัง</t>
  </si>
  <si>
    <t>PAIR_ENE_2-5</t>
  </si>
  <si>
    <t>ศัตรู จันทร์-พฤหัส</t>
  </si>
  <si>
    <t>ร่วมราศียังให้คุณด้านมารยาท</t>
  </si>
  <si>
    <t>PAIR_ENE_4-8</t>
  </si>
  <si>
    <t>ศัตรู พุธ-ราหู</t>
  </si>
  <si>
    <t>PAIR_ENE_6-7</t>
  </si>
  <si>
    <t>ศัตรู ศุกร์-เสาร์</t>
  </si>
  <si>
    <t>predict_id</t>
  </si>
  <si>
    <t>chapter</t>
  </si>
  <si>
    <t>chapter_title</t>
  </si>
  <si>
    <t>condition_text</t>
  </si>
  <si>
    <t>predict_text</t>
  </si>
  <si>
    <t>priority</t>
  </si>
  <si>
    <t>tags_raw</t>
  </si>
  <si>
    <t>category_code</t>
  </si>
  <si>
    <t>category_tag</t>
  </si>
  <si>
    <t>is_active</t>
  </si>
  <si>
    <t>min_manifestation_threshold</t>
  </si>
  <si>
    <t>chapter_01</t>
  </si>
  <si>
    <t>ความหมายของราศีทั้ง 12</t>
  </si>
  <si>
    <t>ต้องการทราบราศีในแผ่นดวงชาตา</t>
  </si>
  <si>
    <t>ราศีเป็นตำแหน่งคงที่ 12 ราศีในจักรราศี นับทวนเข็มนาฬิกาจากเมษ(0)ถึงมีน(11) เกษตรเรือนในสำคัญกว่าความหมายนักษัตรของราศี</t>
  </si>
  <si>
    <t>ราศี, จักรราศี, พื้นฐาน</t>
  </si>
  <si>
    <t>(ยังไม่ระบุ)</t>
  </si>
  <si>
    <t>TRUE</t>
  </si>
  <si>
    <t>chapter_02</t>
  </si>
  <si>
    <t>เครื่องหมายแทนดาวและกำลังโคจร</t>
  </si>
  <si>
    <t>ดาวโคจรเร็วกว่าปกติ</t>
  </si>
  <si>
    <t>เรียกว่า เสริด</t>
  </si>
  <si>
    <t>เสริด, การโคจร, ดาวเคราะห์</t>
  </si>
  <si>
    <t>ดาวโคจรช้าหรือถอยหลัง</t>
  </si>
  <si>
    <t>เรียกว่า พักร</t>
  </si>
  <si>
    <t>พักร, การโคจร, ถอยหลัง</t>
  </si>
  <si>
    <t>ดาวเริ่มช้าแล้วโคจรย้อนวิถีหรืออยู่นานกว่าปกติ</t>
  </si>
  <si>
    <t>เรียกว่า มนท์</t>
  </si>
  <si>
    <t>มนท์, การโคจร</t>
  </si>
  <si>
    <t>ดาวราหู(๘) และเกตุ(๙) โคจร</t>
  </si>
  <si>
    <t>โคจรทวนดาวอื่น คือตามเข็มนาฬิกา — ราหู เกตุ มฤตยู เป็นดาวสมมุติ ไม่มีจริง สร้างขึ้นเพื่อเพิ่มความแม่นยำ</t>
  </si>
  <si>
    <t>ราหู, เกตุ, โคจรย้อน, ดาวสมมุติ</t>
  </si>
  <si>
    <t>ดาวเกตุ(๙) ราหู(๘) มฤตยู(0)</t>
  </si>
  <si>
    <t>ไม่มีตำแหน่งเกษตร ไม่เป็นดาวเจ้าเรือนในราศีใด</t>
  </si>
  <si>
    <t>เกตุ, ราหู, มฤตยู, ไม่มีเกษตร</t>
  </si>
  <si>
    <t>chapter_03</t>
  </si>
  <si>
    <t>ความหมายของภพทั้ง 12</t>
  </si>
  <si>
    <t>ภพอริ มรณะ วินาศ เปรียบเทียบความร้ายแรง</t>
  </si>
  <si>
    <t>มรณะร้ายแรงที่สุด — สูญเสียโดยไม่ได้สิ่งตอบแทน ยกเว้นเจ้าเรือนมรณะมาอยู่กฎุมพะ = ได้ทรัพย์จากการสูญเสียหรือมรดก</t>
  </si>
  <si>
    <t>มรณะ, อริ, วินาศ, ภพร้าย</t>
  </si>
  <si>
    <t>ดาวตกภพวินาศ</t>
  </si>
  <si>
    <t>หมดไปหรือจากไป แต่อาจยังมีสิ่งตอบแทน ไม่เสียเปล่า</t>
  </si>
  <si>
    <t>วินาศ, จากไป</t>
  </si>
  <si>
    <t>ดาวตกภพอริ</t>
  </si>
  <si>
    <t>ไม่ชอบ หรือมีอุปสรรค</t>
  </si>
  <si>
    <t>อริ, อุปสรรค</t>
  </si>
  <si>
    <t>chapter_04</t>
  </si>
  <si>
    <t>ความหมายของดาวเคราะห์ทั้ง 10</t>
  </si>
  <si>
    <t>ดาวอาทิตย์(๑) กุมลัคนาหรือสัมพันธ์ลัคนา</t>
  </si>
  <si>
    <t>หยิ่งในศักดิ์ศรี รักหน้า ไม่ยอมเสียหน้า ชอบให้คนยกย่อง อีโก้สูง</t>
  </si>
  <si>
    <t>อาทิตย์, หยิ่ง, ศักดิ์ศรี, ลัคนา</t>
  </si>
  <si>
    <t>ดาวจันทร์(๒) กุมลัคนาหรือสัมพันธ์ลัคนา</t>
  </si>
  <si>
    <t>กริยามารยาทนุ่มนวล มีเสน่ห์ อ่อนหวาน มีจริตแบบผู้หญิง</t>
  </si>
  <si>
    <t>จันทร์, เสน่ห์, อ่อนหวาน, ลัคนา</t>
  </si>
  <si>
    <t>ดาวอังคาร(๓) กุมลัคนาหรือสัมพันธ์ลัคนา</t>
  </si>
  <si>
    <t>ขยัน แข็งกร้าว ไม่ยอมคน โผงผาง ใจร้อน กล้าหาญ มีตรรกะ ทักษะช่าง</t>
  </si>
  <si>
    <t>อังคาร, ขยัน, กล้า, ลัคนา</t>
  </si>
  <si>
    <t>ดาวพุธ(๔) กุมลัคนาหรือสัมพันธ์ลัคนา</t>
  </si>
  <si>
    <t>ละเอียด ประณีต คิดลึกซึ้ง ช่างเจรจา ชอบงานหนังสือ การสื่อสาร</t>
  </si>
  <si>
    <t>พุธ, ละเอียด, เจรจา, ลัคนา</t>
  </si>
  <si>
    <t>ดาวพฤหัส(๕) กุมลัคนาหรือสัมพันธ์ลัคนา</t>
  </si>
  <si>
    <t>มีคุณธรรม ใจอ่อน เมตตา ขี้สงสาร มองโลกในแง่ดี มีสติยั้งคิดเสมอ</t>
  </si>
  <si>
    <t>พฤหัส, คุณธรรม, เมตตา, ลัคนา</t>
  </si>
  <si>
    <t>ดาวศุกร์(๖) กุมลัคนาหรือสัมพันธ์ลัคนา</t>
  </si>
  <si>
    <t>มีทักษะศิลปะ จินตนาการ เพ้อฝัน ชอบรื่นเริง ของสวยงาม และกำหนัดความใคร่</t>
  </si>
  <si>
    <t>ศุกร์, ศิลปะ, กำหนัด, ลัคนา</t>
  </si>
  <si>
    <t>ดาวเสาร์(๗) กุมลัคนาหรือสัมพันธ์ลัคนา</t>
  </si>
  <si>
    <t>คิดมาก ไตร่ตรองรอบคอบ ทำงานเชื่องช้า อดทนสูง ทำงานหนัก เกษตรกรรม</t>
  </si>
  <si>
    <t>เสาร์, คิดมาก, อดทน, ลัคนา</t>
  </si>
  <si>
    <t>ดาวราหู(๘) กุมลัคนาหรือสัมพันธ์ลัคนา</t>
  </si>
  <si>
    <t>ลุ่มหลงมัวเมา เล่ห์เหลี่ยม หลอกลวง กล้าเสี่ยง ชอบหุ้นหวย อบายมุข</t>
  </si>
  <si>
    <t>ราหู, ลุ่มหลง, เล่ห์, ลัคนา</t>
  </si>
  <si>
    <t>ดาวเกตุ(๙) สัมพันธ์กับดาวดี</t>
  </si>
  <si>
    <t>ทวีคูณให้ดียิ่งขึ้น ถ้าร่วมกับดาวดีและสัมพันธ์ถึงลัคนา = อายุยืน</t>
  </si>
  <si>
    <t>เกตุ, ทวีคูณ, อายุยืน</t>
  </si>
  <si>
    <t>ดาวเกตุ(๙) สัมพันธ์กับดาวเสีย</t>
  </si>
  <si>
    <t>ทวีคูณให้เสียมากยิ่งขึ้น</t>
  </si>
  <si>
    <t>เกตุ, ทวีคูณ, ดาวเสีย</t>
  </si>
  <si>
    <t>ดาวมฤตยู(0) อยู่ในเรือนใด</t>
  </si>
  <si>
    <t>มีการเปลี่ยนแปลงในเรือนนั้น — ปัตนิ=เปลี่ยนคู่ กัมมะ=เปลี่ยนงาน กฎุมพะ=การเงินรั่วไหล ถ้าสัมพันธ์ลัคนา=เจ้าอารมณ์แปรปรวน</t>
  </si>
  <si>
    <t>มฤตยู, แปรปรวน, เปลี่ยนแปลง</t>
  </si>
  <si>
    <t>chapter_05</t>
  </si>
  <si>
    <t>ดาวบาปเคราะห์และดาวศุภเคราะห์</t>
  </si>
  <si>
    <t>จำแนกดาวบาปเคราะห์และศุภเคราะห์</t>
  </si>
  <si>
    <t>บาปเคราะห์(ให้โทษ อำนาจ): ๑ ๓ ๗ ๘ — ศุภเคราะห์(ให้คุณ บารมี): ๒ ๔ ๕ ๖ — การแบ่งนี้เป็นพื้นฐานกว้างๆ ไม่ได้ผลในทางพยากรณ์มากนัก</t>
  </si>
  <si>
    <t>บาปเคราะห์, ศุภเคราะห์, พื้นฐาน</t>
  </si>
  <si>
    <t>chapter_06</t>
  </si>
  <si>
    <t>ดวงมาตรฐานทั้ง 10</t>
  </si>
  <si>
    <t>ดาวอยู่ในราศีเกษตรของตน</t>
  </si>
  <si>
    <t>มั่นคง แน่นอน อุดมสมบูรณ์ ให้ผลอย่างค่อยเป็นค่อยไปแต่มั่นคง ให้ผลเต็มที่ในบั้นปลาย — กราฟเส้นตรงเอียงขึ้น 45 องศา</t>
  </si>
  <si>
    <t>เกษตร, มั่นคง, ให้ผลช้า</t>
  </si>
  <si>
    <t>ดาวอยู่ในราศีประเกษตร (ตรงข้ามเกษตร)</t>
  </si>
  <si>
    <t>ไม่มั่นคง ขาดแคลน เสื่อมถอยช้าๆ ตกต่ำที่สุดในบั้นปลาย — กราฟเส้นตรงเอียงลาดลง</t>
  </si>
  <si>
    <t>ประเกษตร, ไม่มั่นคง, เสื่อมถอย</t>
  </si>
  <si>
    <t>ดาวอยู่ในราศีอุจ</t>
  </si>
  <si>
    <t>รุ่งโรจน์ อุดมสมบูรณ์ ได้มาด้วยความนิยม ให้คุณแรงและสม่ำเสมอ — กราฟเส้นตรงแนวนอนระดับสูง</t>
  </si>
  <si>
    <t>อุจ, รุ่งโรจน์, สม่ำเสมอ</t>
  </si>
  <si>
    <t>ดาวอยู่ในราศีนิจ (ตรงข้ามอุจ)</t>
  </si>
  <si>
    <t>ด้อยต่ำ เสื่อมถอย ไม่ได้รับการยอมรับ ให้โทษไม่แรงแต่สม่ำเสมอ — กราฟเส้นตรงแนวนอนระดับต่ำ</t>
  </si>
  <si>
    <t>นิจ, ด้อย, ไม่ได้รับยอมรับ</t>
  </si>
  <si>
    <t>ดาวอยู่ในราศีก่อนถึงอุจ (อุจจาวิลาส)</t>
  </si>
  <si>
    <t>ให้คุณประมาณ 60% ของอุจ</t>
  </si>
  <si>
    <t>อุจจาวิลาส, ให้คุณ60</t>
  </si>
  <si>
    <t>ดาวอยู่ในราศีถัดจากอุจ (อุจจาภิมุข)</t>
  </si>
  <si>
    <t>อุจจาภิมุข, ให้คุณ60</t>
  </si>
  <si>
    <t>ดาวอยู่ในราศีมหาจักร</t>
  </si>
  <si>
    <t>ให้คุณสูงมาก ผาดโผน รวดเร็ว ข้ามขั้นตอน แต่ไม่สม่ำเสมอ — ได้ทรัพย์เป็นก้อนใหญ่หรือโดยไม่คาดหมาย</t>
  </si>
  <si>
    <t>มหาจักร, ผาดโผน, ได้เป็นก้อน, ไม่สม่ำเสมอ</t>
  </si>
  <si>
    <t>ดาวอยู่ในราศีจุลจักร (ตรงข้ามมหาจักร)</t>
  </si>
  <si>
    <t>ให้คุณแบบเดียวกับมหาจักรแต่ 60%</t>
  </si>
  <si>
    <t>จุลจักร, ให้คุณ60</t>
  </si>
  <si>
    <t>ดาวอยู่ในราศีราชาโชค</t>
  </si>
  <si>
    <t>ได้มาโดยง่าย เรื่อยๆ สบายๆ ไม่ต้องลงทุนลงแรง ให้คุณสม่ำเสมอแต่ไม่แรงมาก</t>
  </si>
  <si>
    <t>ราชาโชค, ได้มาง่าย, สบาย, สม่ำเสมอ</t>
  </si>
  <si>
    <t>ดาวอยู่ในราศีเทวีโชค (ตรงข้ามราชาโชค)</t>
  </si>
  <si>
    <t>ให้คุณแบบราชาโชคแต่ 60% — ถ้ากุมลัคนาจะให้คุณเกือบเท่าราชาโชค</t>
  </si>
  <si>
    <t>เทวีโชค, ให้คุณ60, กุมลัคนา</t>
  </si>
  <si>
    <t>chapter_07</t>
  </si>
  <si>
    <t>ธาตุของราศีและธาตุของดาว</t>
  </si>
  <si>
    <t>ดาวธาตุไฟอยู่ในราศีธาตุน้ำ</t>
  </si>
  <si>
    <t>อ่อนกำลังลงมาก</t>
  </si>
  <si>
    <t>ธาตุ, ไฟ, น้ำ, อ่อนกำลัง</t>
  </si>
  <si>
    <t>ดาวธาตุไฟอยู่ในราศีธาตุลม</t>
  </si>
  <si>
    <t>ทวีกำลังแรงขึ้น</t>
  </si>
  <si>
    <t>ธาตุ, ไฟ, ลม, ทวีกำลัง</t>
  </si>
  <si>
    <t>ดาวธาตุเดียวกันสัมพันธ์กัน</t>
  </si>
  <si>
    <t>เข้ากันได้สนิท เสริมกัน</t>
  </si>
  <si>
    <t>ธาตุ, คู่ธาตุ, เสริมกัน</t>
  </si>
  <si>
    <t>chapter_08</t>
  </si>
  <si>
    <t>ดาวคู่ทั้ง 4</t>
  </si>
  <si>
    <t>ดาวคู่มิตรร่วมราศีหรือสัมพันธ์กัน (๑๕, ๒๔, ๓๖, ๗๘)</t>
  </si>
  <si>
    <t>ส่งเสริมกัน มีกำลังมากยิ่งขึ้น — แม้เสาร์กับราหูก็ให้โชคใหญ่</t>
  </si>
  <si>
    <t>คู่มิตร, เสริมกัน, โชค</t>
  </si>
  <si>
    <t>ดาวคู่ศัตรูสัมพันธ์กัน (๑๓, ๒๕, ๔๘, ๖๗)</t>
  </si>
  <si>
    <t>บ่อนทำลายกัน อ่อนกำลังทั้งคู่ เกิดความขัดแย้ง</t>
  </si>
  <si>
    <t>คู่ศัตรู, บ่อนทำลาย, ขัดแย้ง</t>
  </si>
  <si>
    <t>ดาวคู่สมพลร่วมราศีหรือสัมพันธ์กัน (๑๖, ๒๘, ๓๕, ๔๗)</t>
  </si>
  <si>
    <t>ส่งเสริมกัน มีกำลังมากขึ้นทั้งคู่ คล้ายคู่มิตร</t>
  </si>
  <si>
    <t>คู่สมพล, เสริมกัน</t>
  </si>
  <si>
    <t>ดาวจันทร์(๒) กับพฤหัส(๕) ร่วมราศี — คู่ธาตุดินแต่เป็นคู่ศัตรูด้วย</t>
  </si>
  <si>
    <t>ดีกันไม่จริง ร้ายกันก็ไม่มาก — แต่ร่วมราศีให้คุณด้านกริยามารยาทอ่อนหวานสงบน่านับถือ</t>
  </si>
  <si>
    <t>จันทร์, พฤหัส, คู่ธาตุ, คู่ศัตรูเล็ก</t>
  </si>
  <si>
    <t>chapter_09</t>
  </si>
  <si>
    <t>มุมสัมพันธ์ทั้ง 4</t>
  </si>
  <si>
    <t>ดาวกุมกัน (อยู่ราศีเดียวกัน)</t>
  </si>
  <si>
    <t>ส่งกำลังถึงกัน 100%</t>
  </si>
  <si>
    <t>กุม, 100เปอร์เซ็นต์, ร่วมราศี</t>
  </si>
  <si>
    <t>ดาวเล็งกัน (ตรงข้ามราศี = เป็น 7 แก่กัน)</t>
  </si>
  <si>
    <t>ส่งกำลังถึงกัน 80%</t>
  </si>
  <si>
    <t>เล็ง, 80เปอร์เซ็นต์</t>
  </si>
  <si>
    <t>ดาวโยคกัน (นับได้ 3 หรือ 11 ราศี)</t>
  </si>
  <si>
    <t>ส่งกำลังถึงกัน 60%</t>
  </si>
  <si>
    <t>โยค, 60เปอร์เซ็นต์</t>
  </si>
  <si>
    <t>ดาวตรีโกณกัน (นับได้ 5 หรือ 9 ราศี)</t>
  </si>
  <si>
    <t>ส่งกำลังถึงกัน 50%</t>
  </si>
  <si>
    <t>ตรีโกณ, 50เปอร์เซ็นต์</t>
  </si>
  <si>
    <t>ดาวไม่กุม-เล็ง-โยค-ตรีโกณกับลัคนา</t>
  </si>
  <si>
    <t>ไม่ให้ผลในทางปัจจัยภายนอก แต่มีผลด้านอัจฉริยภาพภายในของเจ้าชาตา</t>
  </si>
  <si>
    <t>ไม่สัมพันธ์ลัคนา, ภายใน, ไม่แสดงออก</t>
  </si>
  <si>
    <t>chapter_10</t>
  </si>
  <si>
    <t>กฎ ลบ-ลบ กลายเป็นบวก และดาวสลับเรือน</t>
  </si>
  <si>
    <t>ดาวเกษตร 2 ดวงอยู่ราศีตรงข้ามกัน (เล็งกัน)</t>
  </si>
  <si>
    <t>กลายเป็นประเกษตรทั้งคู่ — ดีก่อน ภายหลังเสื่อมถอย (กฎลบ-ลบ=บวก)</t>
  </si>
  <si>
    <t>เกษตร, เล็ง, ประเกษตร, ดีก่อนเสียทีหลัง</t>
  </si>
  <si>
    <t>ดาวประเกษตร 2 ดวงเล็งกัน</t>
  </si>
  <si>
    <t>กลายเป็นเกษตรทั้งคู่ — ไม่ดีก่อน ภายหลังจึงดี</t>
  </si>
  <si>
    <t>ประเกษตร, เล็ง, กลายเป็นเกษตร</t>
  </si>
  <si>
    <t>ดาวอุจ 2 ดวงเล็งกัน</t>
  </si>
  <si>
    <t>กลายเป็นนิจทั้งคู่ อาจล้มทั้งยืนหรือหักโค่นครั้งใหญ่ เพราะอุจให้ผลเร็ว</t>
  </si>
  <si>
    <t>อุจ, เล็ง, นิจ, ล้มทั้งยืน</t>
  </si>
  <si>
    <t>ดาว 2 ดวงอยู่ในเรือนเกษตรของกันและกัน (สลับเรือน)</t>
  </si>
  <si>
    <t>กลายเป็นอนุเกษตรทั้งคู่ ให้คุณรองจากเกษตร ให้คุณทันทีตั้งแต่เกิดแต่อาจช้ากว่าเกษตร</t>
  </si>
  <si>
    <t>สลับเรือน, อนุเกษตร, ให้คุณทันที</t>
  </si>
  <si>
    <t>กฎลบ-ลบ ใช้กับดวงใดบ้าง</t>
  </si>
  <si>
    <t>ใช้เฉพาะเกษตร ประเกษตร อุจ นิจ เท่านั้น — ไม่ใช้กับมหาจักร อุจจาวิลาส อุจจาภิมุข ราชาโชค เทวีโชค</t>
  </si>
  <si>
    <t>กฎลบลบ, ข้อจำกัด</t>
  </si>
  <si>
    <t>chapter_11</t>
  </si>
  <si>
    <t>ดาวเคราะห์เรือนนอก / ดาวเคราะห์เรือนใน</t>
  </si>
  <si>
    <t>ต้องการทราบความหมายของดาวเรือนนอกและเรือนใน</t>
  </si>
  <si>
    <t>เรือนนอก = ดาวที่เขียนในแผ่นดวง เห็นด้วยตาเปล่า — เรือนใน = ดาวเกษตรเจ้าเรือนประจำราศี ไม่เขียนแต่มีตัวตนหลังฉาก ต้องคิดไว้ในใจเสมอ</t>
  </si>
  <si>
    <t>เรือนนอก, เรือนใน, เกษตรเจ้าเรือน</t>
  </si>
  <si>
    <t>chapter_12</t>
  </si>
  <si>
    <t>คำพยากรณ์เกี่ยวกับฤกษ์ใหญ่ทั้ง 9</t>
  </si>
  <si>
    <t>ดาวลัคนาเสวยฤกษ์ใด — ใช้พยากรณ์อาชีพ</t>
  </si>
  <si>
    <t>ฤกษ์ 9 กลุ่ม: ทลิทโท=ยากจนทำงานหนัก, มหัทธโน=มั่งคั่ง, โจโร=เสี่ยงอันตราย, ภูมิปาโล=ราชการ, เทศาตรี=เดินทางค้าขาย, เทวี=ได้คู่ดี, เพชฌฆาต=ปราบปราม, ราชา=บุญญาธิการ, สมโณ=นักบวช/ศาสนาดี</t>
  </si>
  <si>
    <t>ฤกษ์, อาชีพ, ลัคนา</t>
  </si>
  <si>
    <t>ฤกษ์สำคัญเพียงใดในการพยากรณ์</t>
  </si>
  <si>
    <t>เป็นแนวทางกว้างๆเท่านั้น — ต้องดูดาวเด่นสัมพันธ์ลัคนาและภพกัมมะเป็นสำคัญกว่า</t>
  </si>
  <si>
    <t>ฤกษ์, ไม่สำคัญมาก, กัมมะ</t>
  </si>
  <si>
    <t>chapter_13</t>
  </si>
  <si>
    <t>ลัคนา ตนุเศษ ตนุลัคน์</t>
  </si>
  <si>
    <t>ลัคนาไม่ถูกต้องหรือสงสัย</t>
  </si>
  <si>
    <t>ลองย้ายลัคนาเดินหน้าหรือถอยหลัง 1 ราศีโดยเปลี่ยนเวลาเกิด — ราศีใดพยากรณ์ตรงกับข้อเท็จจริง ให้ถือราศีนั้น ไม่ต้องดูดวงซ้อนดวง</t>
  </si>
  <si>
    <t>ลัคนา, สอบลัคนา, ย้ายลัคนา</t>
  </si>
  <si>
    <t>เจ้าชาตาไม่รู้เวลาเกิด</t>
  </si>
  <si>
    <t>ยังสามารถคาดคะเนลัคนาได้จากนิสัยเด่นๆ ประสบการณ์สำคัญในชีวิต — ไม่เป็นความจริงที่ว่าไม่รู้เวลาเกิดผูกดวงไม่ได้</t>
  </si>
  <si>
    <t>ไม่รู้เวลาเกิด, สอบลัคนา, นิสัย</t>
  </si>
  <si>
    <t>ดาวอะไรเป็นตนุเศษ</t>
  </si>
  <si>
    <t>บอกนิสัยโดยรวมโดยไม่ต้องดูคุณภาพหรือภพ — ๑=หยิ่งรักหน้า ๒=อ่อนหวานมารยาทดี ๓=ขยัน ๔=ละเอียด ๕=ใจอ่อนเมตตาไม่โกง ๖=จินตนาการรื่นเริง ๗=คิดมากรอบคอบ</t>
  </si>
  <si>
    <t>ตนุเศษ, นิสัย, ไม่ดูภพ, ไม่ดูคุณภาพ</t>
  </si>
  <si>
    <t>ตนุลัคน์คือดาวอะไร</t>
  </si>
  <si>
    <t>สันดานแท้จริงภายในของเจ้าชาตา — ดาวดีหรือเสีย จะไปภพอะไร ก็ยังเป็นสันดานนั้น ถ้าสัมพันธ์ลัคนา=แสดงออก ถ้าไม่สัมพันธ์=ไม่ค่อยแสดงออก</t>
  </si>
  <si>
    <t>ตนุลัคน์, สันดานแท้, สัมพันธ์ลัคนา</t>
  </si>
  <si>
    <t>ตนุลัคน์ไปอยู่ภพใด</t>
  </si>
  <si>
    <t>เจ้าชาตาให้ความสำคัญและมีชีวิตยุ่งเกี่ยวกับภพนั้นมาก — ตนุ=ถือตัวเองเป็นใหญ่ กฎุมพะ=หาเงิน อริ=ชอบหาความยุ่งยากใส่ตัว มรณะ=ดวงเปราะ วินาศ=ปลีกวิเวก</t>
  </si>
  <si>
    <t>ตนุลัคน์, ภพ, ชีวิตยุ่งเกี่ยว</t>
  </si>
  <si>
    <t>ตนุลัคน์ไปร่วมราศีกับดาวใด</t>
  </si>
  <si>
    <t>ทำให้มีคุณสมบัติและเกี่ยวข้องกับดาวนั้นด้วย แม้ดาวนั้นไม่สัมพันธ์ลัคนาโดยตรง — ดาวที่เล็งตนุลัคน์ก็ส่งผลเช่นกันแต่ % น้อยกว่า</t>
  </si>
  <si>
    <t>ตนุลัคน์, ร่วมราศี, คุณสมบัติดาวอื่น</t>
  </si>
  <si>
    <t>ตนุลัคน์คือ ๓ (อังคาร) ตกภพมรณะ และมีมฤตยู(0) สัมพันธ์</t>
  </si>
  <si>
    <t>น่าเป็นห่วงมากกว่าดวงเปราะทั่วไป — มีปัญหาสุขภาพตลอดชีวิต อาจเป็นปัญหาใหญ่ได้ตลอดเวลา</t>
  </si>
  <si>
    <t>อังคาร, ตนุลัคน์, มรณะ, มฤตยู, สุขภาพ</t>
  </si>
  <si>
    <t>chapter_32</t>
  </si>
  <si>
    <t>ดาวราหู(๘) กรณีต่างๆ</t>
  </si>
  <si>
    <t>ดาวราหู(๘) เสีย (ประเกษตร/นิจ) สัมพันธ์ถึงลัคนา</t>
  </si>
  <si>
    <t>งมงาย เชื่ออะไรง่ายไม่มีเหตุผล ไม่ทันคน ถูกหลอกลวงง่าย — ถ้ากุมลัคนาชัดเจนที่สุด เล็ง/โยค/ตรีโกณน้อยลงตามส่วน</t>
  </si>
  <si>
    <t>ราหู, เสีย, สัมพันธ์ลัคนา, งมงาย, ถูกหลอก</t>
  </si>
  <si>
    <t>ดาวราหู(๘) เสีย ไม่สัมพันธ์ถึงลัคนา</t>
  </si>
  <si>
    <t>เบาบางลง ไม่ถึงตัว แต่ยังเชื่อคนง่าย ถูกหลอกได้ในฐานะอัจฉริยภาพภายใน — ทำหุ้น หวย สิ่งมึนเมา ก็มีแต่เจ๊ง ไม่ถูกโฉลก</t>
  </si>
  <si>
    <t>ราหู, เสีย, ไม่สัมพันธ์ลัคนา, เชื่อง่าย</t>
  </si>
  <si>
    <t>ดาวราหู(๘) ดี (อุจจาวิลาส/อุจจาภิมุข/อุจ/มหาจักร) กุมลัคนา</t>
  </si>
  <si>
    <t>เจ้าเล่ห์และโกงโดยแท้ ดาวพฤหัส(๕) อาทิตย์(๑) อังคาร(๓) แรงขนาดไหนก็ทานไม่อยู่ — ลุ่มหลงอย่างมาก ฉลาดทันโลก แต่ไม่ติดเหล้า/พนัน เพราะรู้ทัน</t>
  </si>
  <si>
    <t>ราหู, ดีมาก, กุมลัคนา, โกง, เจ้าเล่ห์</t>
  </si>
  <si>
    <t>ดาวราหู(๘) คุณภาพปกติ กุมลัคนา</t>
  </si>
  <si>
    <t>ลุ่มหลงอะไรสักอย่าง เกเรช่วงต้น ไม่เรียน ติดอบายมุขได้ทุกอย่าง ฉลาดทันคน — มักไม่โกง ดาวพฤหัส(๕) แรงขนาดไหนก็ทานไม่อยู่</t>
  </si>
  <si>
    <t>ราหู, ปกติ, กุมลัคนา, ลุ่มหลง, เกเร</t>
  </si>
  <si>
    <t>ดาวราหู(๘) เกษตร/ราชาโชค กุมลัคนา</t>
  </si>
  <si>
    <t>เหมือนคุณภาพปกติแต่ออกทางเจ้าเล่ห์ — ยิ่งอายุมากยิ่งโกง ช่วงต้นเกเรแต่กลับตัวได้เร็วถ้าดาวพฤหัส(๕)แรง</t>
  </si>
  <si>
    <t>ราหู, เกษตร, ราชาโชค, กุมลัคนา, โกงอายุมาก</t>
  </si>
  <si>
    <t>ดาวราหู(๘) เล็ง/โยค/ตรีโกณลัคนา</t>
  </si>
  <si>
    <t>มีทั้งดีและร้าย ดี-ร้ายธรรมดาถึงมากตามส่วน — % ความสัมพันธ์ถึงตนุลดลงทำให้ไม่รุนแรงเท่ากุมลัคนา</t>
  </si>
  <si>
    <t>ราหู, เล็ง, โยค, ตรีโกณ, ลัคนา</t>
  </si>
  <si>
    <t>ดาวราหู(๘) ดี ไม่สัมพันธ์ถึงลัคนา</t>
  </si>
  <si>
    <t>ฉลาดทันเล่ห์เหลี่ยมในฐานะอัจฉริยภาพภายใน โกงเป็นแต่มักไม่โกง — ถ้าโกงก็ไม่ถูกโฉลก อาจถูกจับได้ ตกภพมรณะ=กำลังรุ่งก็ล้มทั้งยืน</t>
  </si>
  <si>
    <t>ราหู, ดี, ไม่สัมพันธ์ลัคนา, ไม่ถูกโฉลก</t>
  </si>
  <si>
    <t>ดาวราหู(๘) มหาจักร/จุลจักร ไม่สัมพันธ์ลัคนา</t>
  </si>
  <si>
    <t>คาดการณ์ยาก — บางคนลุ่มหลงและโกงได้มากทั้งที่ไม่สัมพันธ์ลัคนา บางคนกลับไม่มีเรื่องเลย ถือเป็นข้อสังเกตกรณีพิเศษ</t>
  </si>
  <si>
    <t>ราหู, มหาจักร, จุลจักร, ไม่สัมพันธ์ลัคนา, คาดการณ์ยาก</t>
  </si>
  <si>
    <t>ดูดาวราหู(๘) ทุกครั้ง</t>
  </si>
  <si>
    <t>ต้องดูดาวพฤหัส(๕)=สติยั้งคิด, อังคาร(๓)=ตรรกะเหตุผล, อาทิตย์(๑)=รักหน้าไม่โกง ประกอบเสมอ — ดูคุณภาพ %สัมพันธ์ ความแรง หนักเบาเปรียบกัน ไม่มีสูตรสำเร็จ</t>
  </si>
  <si>
    <t>ราหู, ดูประกอบ, พฤหัส, อังคาร, อาทิตย์</t>
  </si>
  <si>
    <t>ราหู(๘) เล็งลัคนา + มีดาวคู่ธาตุ/คู่สมพลกุมลัคนารับ</t>
  </si>
  <si>
    <t>ฉลาดเล่ห์เหลี่ยมแต่ไม่โกง ถ้าได้พฤหัส(๕)สัมพันธ์ด้วยยิ่งดี — ยังรับดาวเสาร์(๗)จรได้ดี แทนที่จะโทษก็กลับให้คุณหรือโชคใหญ่ทุกครั้ง</t>
  </si>
  <si>
    <t>ราหู, เล็งลัคนา, คู่ธาตุ, คู่สมพล, รับเสาร์จร</t>
  </si>
  <si>
    <t>ราหู(๘) เป็นตนุลัคน์ (เกษตรเรือนในภพตนุ) ไม่สัมพันธ์ถึงลัคนา</t>
  </si>
  <si>
    <t>เป็นตัวตนภายในจริงๆ ทำให้เจ้าเล่ห์ ลุ่มหลง แม้ไม่แสดงออกตลอดเวลา — ถ้าสัมพันธ์ถึงลัคนาด้วย = 2 ชั้น ทั้งตัวตนภายในและภายนอก</t>
  </si>
  <si>
    <t>ราหู, ตนุลัคน์, เกษตรเรือนใน, ตัวตนภายใน</t>
  </si>
  <si>
    <t>ราหู(๘) ดี + พฤหัส(๕) แรงกว่า สัมพันธ์ลัคนา</t>
  </si>
  <si>
    <t>ฉลาดเล่ห์เหลี่ยมมากๆแต่ไม่โกง ถูกโฉลกทั้งทางธรรมทางโลก เล่นหุ้น ปล่อยกู้ สิ่งมึนเมาดีเยี่ยม — ต้องระวังช่วงราหู(๘)จรมาซ้ำเติม จะทวีกำลังแรงกว่าดาวอื่นได้</t>
  </si>
  <si>
    <t>ราหู, ดี, พฤหัสแรงกว่า, ไม่โกง, ถูกโฉลก</t>
  </si>
  <si>
    <t>ดาวราหู(๘) แรง + ดาวพฤหัส(๕) กุมลัคนาด้วยกัน (ทั้งโจรทั้งพระ)</t>
  </si>
  <si>
    <t>มีสองขั้วในคนเดียว — ดาวใดแรงกว่าก็ออกทางนั้น พฤหัส(๕)เกษตรให้ผลช้าจึงอายุมากขึ้นถึงจะดี ช่วงต้นมักลุ่มหลงก่อนแล้วค่อยปรับตัว</t>
  </si>
  <si>
    <t>ราหู, พฤหัส, ทั้งโจรทั้งพระ, สองขั้ว</t>
  </si>
  <si>
    <t>โปรแกรมโหราศาสตร์ต่างกัน ให้ผลตำแหน่งดาวต่างกัน</t>
  </si>
  <si>
    <t>ต้องสอบลัคนาทุกครั้ง โดยพยากรณ์ตรวจสอบกับข้อเท็จจริง — แค่เริ่มต้นลัคนาผิด ตามด้วยความหมายดาวที่เพี้ยน วิธีอ่านต่างกัน ผลลัพธ์ต่างกันมากมาย</t>
  </si>
  <si>
    <t>โปรแกรมโหราศาสตร์, สอบลัคนา, ความถูกต้อง</t>
  </si>
  <si>
    <t>ดาวความหมายต่างดวงสัมพันธ์กัน เช่น ราหู(๘)+ศุกร์(๖)</t>
  </si>
  <si>
    <t>รวมความหมายเข้าด้วยกันแบบไม่หักล้างกัน — ราหู(๘)+ศุกร์(๖)=ศิลปะในการหลอกลวง โกหกได้แนบเนียน หรือนักแสดงมืออาชีพ</t>
  </si>
  <si>
    <t>ราหู, ศุกร์, ผสมความหมาย, ไม่หักล้าง</t>
  </si>
  <si>
    <t>chapter_38</t>
  </si>
  <si>
    <t>การวางฤกษ์ผ่าคลอดทารก</t>
  </si>
  <si>
    <t>ดาว 0 สัมพันธ์ลัคนา หรือสัมพันธ์ตนุลัคน์ หรือสัมพันธ์ดาว 3</t>
  </si>
  <si>
    <t>วิถีชีวิตแปรปรวน ปัญหาสุขภาพและอุบัติเหตุตลอดชีวิต — ห้ามวางในตำแหน่งนี้</t>
  </si>
  <si>
    <t>มฤตยู, ลัคนา, สุขภาพ, ห้ามวาง</t>
  </si>
  <si>
    <t>ดาว 0 อยู่ในภพกฎุมพะ</t>
  </si>
  <si>
    <t>ทรัพย์สินเสียหายง่าย ใช้เงินเก่ง</t>
  </si>
  <si>
    <t>มฤตยู, กฎุมพะ, การเงิน</t>
  </si>
  <si>
    <t>ดาว 0 อยู่ในภพมรณะ</t>
  </si>
  <si>
    <t>เล็งภพการเงิน มีปัญหาเรื่องทรัพย์สินเงินทอง</t>
  </si>
  <si>
    <t>มฤตยู, มรณะ, การเงิน</t>
  </si>
  <si>
    <t>ดาว 0 อยู่ในภพวินาศ หรือภพอริ</t>
  </si>
  <si>
    <t>ตำแหน่งที่ดีที่สุดสำหรับดาว 0 — ให้โทษน้อยที่สุด</t>
  </si>
  <si>
    <t>มฤตยู, วินาศ, อริ, ตำแหน่งดี</t>
  </si>
  <si>
    <t>ดาว 8 กุมลัคนา แม้คุณภาพปกติ</t>
  </si>
  <si>
    <t>ร้ายแรงที่สุด ลุ่มหลง คดโกง — ควรหลีกเลี่ยงเด็ดขาด</t>
  </si>
  <si>
    <t>ราหู, ลัคนา, ห้ามวาง</t>
  </si>
  <si>
    <t>ดาว 8 คุณภาพมหาจักร ไม่ว่าจะสัมพันธ์ลัคนาหรือไม่</t>
  </si>
  <si>
    <t>คาดเดาได้ยากที่สุด อาจส่งผลร้ายได้แม้ไม่สัมพันธ์ลัคนา — ไม่ควรวางสัมพันธ์ลัคนา</t>
  </si>
  <si>
    <t>ราหู, มหาจักร, ห้ามวาง</t>
  </si>
  <si>
    <t>ดาว 8 คุณภาพอุจ/อุจจาวิลาส/อุจจาภิมุข สัมพันธ์ลัคนา</t>
  </si>
  <si>
    <t>เป็นคนโกงหรือลุ่มหลง ชีวิตเสียหายมาก — วางในภพกฎุมพะกลับดี</t>
  </si>
  <si>
    <t>ราหู, อุจ, ลัคนา, กฎุมพะ</t>
  </si>
  <si>
    <t>ดาว 8 คุณภาพปกติหรือเกษตร เล็ง/โยค/ตรีโกณลัคนา และดาว 5 สัมพันธ์ลัคนาหรือเป็นตนุเศษ</t>
  </si>
  <si>
    <t>ฉลาดทางโลก มีคุณธรรมลดทอนราหู ถูกโฉลกเรื่องหุ้น-การเงิน-สื่อสาร</t>
  </si>
  <si>
    <t>ราหู, พฤหัส, ลัคนา, ผลดี</t>
  </si>
  <si>
    <t>ดาว 5 คุณภาพใดก็ได้ สัมพันธ์ลัคนา</t>
  </si>
  <si>
    <t>คนดี มีเมตตา สติยั้งคิด ผู้ใหญ่ช่วยเหลือ ชีวิตไม่อับจน — วางสัมพันธ์ลัคนาทุกกรณี</t>
  </si>
  <si>
    <t>พฤหัส, ลัคนา, ควรวาง</t>
  </si>
  <si>
    <t>ดาว 7 คุณภาพดี กุมหรือเล็งลัคนา</t>
  </si>
  <si>
    <t>เชื่องช้า คิดมากเกินไป — ไม่ควรวางในตำแหน่งนี้</t>
  </si>
  <si>
    <t>เสาร์, ลัคนา, ห้ามวาง</t>
  </si>
  <si>
    <t>ดาว 7 คุณภาพดี สัมพันธ์ลัคนา (ไม่กุม/เล็ง) วางในภพลาภะ</t>
  </si>
  <si>
    <t>ไตร่ตรองรอบคอบ อดทน ถูกโฉลกทำงานหนัก รู้จักใช้จ่ายเงิน — ตำแหน่งดีที่สุดสำหรับดาว 7</t>
  </si>
  <si>
    <t>เสาร์, ลาภะ, ตำแหน่งดี</t>
  </si>
  <si>
    <t>ดาว 6 ดีมาก + ดาว 1 หรือ 3 ดีสัมพันธ์ลัคนาพร้อมกัน</t>
  </si>
  <si>
    <t>กำหนัดสูงมาก เจ้าชู้หรือสำส่อนได้ — ระวัง</t>
  </si>
  <si>
    <t>ศุกร์, อาทิตย์, อังคาร, ลัคนา, เจ้าชู้</t>
  </si>
  <si>
    <t>เจ้าเรือนภพกฎุมพะหรือปัตนิ ตกภพมรณะ อริ หรือวินาศ</t>
  </si>
  <si>
    <t>ปัญหาทรัพย์สินหรือคู่ครองตลอดชีวิต — ห้ามวาง</t>
  </si>
  <si>
    <t>กฎุมพะ, ปัตนิ, มรณะ, อริ, วินาศ, ห้ามวาง</t>
  </si>
  <si>
    <t>ดาว 3+ ดวง กระจุกในราศีเดียว</t>
  </si>
  <si>
    <t>ดวงชาตาไม่สมดุล — ควรกระจายดาวหลายราศี</t>
  </si>
  <si>
    <t>การกระจุกตัว, ห้ามวาง</t>
  </si>
  <si>
    <t>ทารกเพศหญิง และดาว 2 ไม่สัมพันธ์ลัคนา</t>
  </si>
  <si>
    <t>ขาดเสน่ห์ อาจเป็นทอมบอย — ควรวางลัคนาให้ดาว 2 สัมพันธ์ลัคนาก่อนเสมอ</t>
  </si>
  <si>
    <t>จันทร์, เพศหญิง, ลัคนา</t>
  </si>
  <si>
    <t>ทารกเพศหญิง และเจ้าเรือนปัตนิตกภพมรณะ/อริ/วินาศ หรือมีดาว 0 ในภพปัตนิ</t>
  </si>
  <si>
    <t>มีคู่ยาก คู่ตายจาก ขัดแย้ง หรือต้องเปลี่ยนคู่ — ห้ามวาง เสียหายรุนแรงกว่าเพศชาย</t>
  </si>
  <si>
    <t>เพศหญิง, ปัตนิ, มรณะ, มฤตยู, ห้ามวาง</t>
  </si>
  <si>
    <t>ดาว 9 ร่วมราศีกับดาวกุมลัคนา</t>
  </si>
  <si>
    <t>อาจพิการแต่กำเนิดหรือเป็นออทิสติก — ระวังเป็นพิเศษ</t>
  </si>
  <si>
    <t>เกตุ, ลัคนา, พิการ, ห้ามวาง</t>
  </si>
  <si>
    <t>ช่วงดาวส่วนใหญ่คุณภาพเสีย (นิจ/ประเกษตร)</t>
  </si>
  <si>
    <t>วางฤกษ์ได้ยากมาก อาจหาราศีดีได้แค่ 1 ราศีหรือไม่มีเลย — ต้องเลือกเสียหายน้อยที่สุด</t>
  </si>
  <si>
    <t>คุณภาพดาว, ข้อจำกัด</t>
  </si>
  <si>
    <t>chapter_39</t>
  </si>
  <si>
    <t>อัจฉริยภาพภายใน / พื้นเพของตน / ความหมายดาวในบริบทต่างๆ</t>
  </si>
  <si>
    <t>ดาว 1-8 ทุกดวง ไม่ว่าสัมพันธ์ลัคนาหรือไม่</t>
  </si>
  <si>
    <t>อัจฉริยภาพภายในมีอยู่เสมอ 100% — แต่แสดงออกให้เห็นตลอดเวลาเฉพาะเมื่อสัมพันธ์ลัคนา</t>
  </si>
  <si>
    <t>อัจฉริยภาพภายใน, หลักการ</t>
  </si>
  <si>
    <t>ดาว 6 (ศุกร์) ดีสัมพันธ์ลัคนา</t>
  </si>
  <si>
    <t>ทำงานศิลปะได้ดี ถูกโฉลก ตลอดเวลา แข่งขันในสายอาชีพได้</t>
  </si>
  <si>
    <t>ศุกร์, ลัคนา, ศิลปะ, ถูกโฉลก</t>
  </si>
  <si>
    <t>ดาว 6 ดี แต่ไม่สัมพันธ์ลัคนา</t>
  </si>
  <si>
    <t>มีอัจฉริยภาพด้านศิลปะ แต่ทำได้ไม่ตลอดเวลา ไม่ถูกโฉลก ระยะยาวสู้คนอื่นไม่ได้</t>
  </si>
  <si>
    <t>ศุกร์, ไม่สัมพันธ์ลัคนา, ไม่ถูกโฉลก</t>
  </si>
  <si>
    <t>ดาว 8 ดี แต่ไม่สัมพันธ์ลัคนา</t>
  </si>
  <si>
    <t>มีความรู้เรื่องเล่ห์เหลี่ยม แต่ลุ่มหลงเป็นช่วงสั้นๆ ไม่ถูกโฉลกถ้าโกง</t>
  </si>
  <si>
    <t>ราหู, ไม่สัมพันธ์ลัคนา, อัจฉริยภาพ</t>
  </si>
  <si>
    <t>ดาว 8 คุณภาพมหาจักร/จุลจักร ไม่สัมพันธ์ลัคนา</t>
  </si>
  <si>
    <t>คาดเดายาก บางคนปกติไม่โกงเลย บางคนลุ่มหลงหนักจนชีวิตพัง — ถึงโกงก็ไม่ถูกโฉลก</t>
  </si>
  <si>
    <t>ราหู, มหาจักร, ไม่สัมพันธ์ลัคนา</t>
  </si>
  <si>
    <t>ดาว 1 (อาทิตย์) เสีย สัมพันธ์ลัคนา</t>
  </si>
  <si>
    <t>หยิ่งไม่เข้าท่า (หยิ่งโง่ๆ) แต่มีข้อดีคือกลัวเสียหน้าจึงไม่กล้าโกง</t>
  </si>
  <si>
    <t>อาทิตย์, เสีย, ลัคนา</t>
  </si>
  <si>
    <t>ดาว 1 เสีย ไม่สัมพันธ์ลัคนา</t>
  </si>
  <si>
    <t>ไม่มีความหยิ่งหรือรักศักดิ์ศรีเลย อาจทำชั่วได้ง่าย</t>
  </si>
  <si>
    <t>อาทิตย์, เสีย, ไม่สัมพันธ์ลัคนา</t>
  </si>
  <si>
    <t>ดาว 2 (จันทร์) ดี สัมพันธ์ลัคนา — เพศหญิง</t>
  </si>
  <si>
    <t>อ่อนหวาน มีเสน่ห์ มีจริตผู้หญิง เหมาะอาชีพดารานักแสดง</t>
  </si>
  <si>
    <t>ดาว 2 เสีย สัมพันธ์ลัคนา — เพศหญิง</t>
  </si>
  <si>
    <t>อ่อนหวานจนเกินเหตุ หรือไร้เสน่ห์ไปเลย</t>
  </si>
  <si>
    <t>จันทร์, เสีย, เพศหญิง, ลัคนา</t>
  </si>
  <si>
    <t>ดาว 2 ไม่สัมพันธ์ลัคนา — เพศหญิง + ดาว 3 หรือ 7 สัมพันธ์ลัคนา</t>
  </si>
  <si>
    <t>ภายนอกดูห้าว แต่ภายในอ่อนหวาน แสดงออกเฉพาะกับคนใกล้ชิดหรือบางครั้งเท่านั้น</t>
  </si>
  <si>
    <t>จันทร์, ไม่สัมพันธ์ลัคนา, เพศหญิง</t>
  </si>
  <si>
    <t>ดาว 3 (อังคาร) สัมพันธ์ลัคนา</t>
  </si>
  <si>
    <t>ขยันอย่างชัดเจน แม้ดาวเสียก็ยังขยัน (แต่ขยันไม่เป็นชิ้นเป็นอัน)</t>
  </si>
  <si>
    <t>อังคาร, ลัคนา, ขยัน</t>
  </si>
  <si>
    <t>ดาว 3 ไม่สัมพันธ์ลัคนา</t>
  </si>
  <si>
    <t>ขี้เกียจ ขยันเฉพาะเมื่อมีงานหรือความจำเป็นบังคับ (ขยันไม่จริง)</t>
  </si>
  <si>
    <t>อังคาร, ไม่สัมพันธ์ลัคนา, ขี้เกียจ</t>
  </si>
  <si>
    <t>ดาว 3 ไม่สัมพันธ์ลัคนา แต่ลอยอยู่ในภพกัมมะ</t>
  </si>
  <si>
    <t>บ้าทำงานเมื่อมีงาน แต่พอไม่มีงานก็ขี้เกียจมาก (ขยันไม่จริงแบบพิเศษ)</t>
  </si>
  <si>
    <t>อังคาร, กัมมะ, ไม่สัมพันธ์ลัคนา</t>
  </si>
  <si>
    <t>ดาว 3 คุณภาพอุจ สัมพันธ์ลัคนา</t>
  </si>
  <si>
    <t>ใจร้อนขี้โมโหตลอดเวลา เจ้าเหตุผลมาก — ถ้าไม่มีดาว 5 ช่วย อาจทำร้ายผู้อื่นหรือพูดโผงผาง</t>
  </si>
  <si>
    <t>อังคาร, อุจ, ลัคนา, ใจร้อน</t>
  </si>
  <si>
    <t>ดาว 3 คุณภาพมหาจักร สัมพันธ์ลัคนา</t>
  </si>
  <si>
    <t>โมโหไม่แน่นอน บางครั้งร้ายจนหน้ามืด แต่ตรรกะระดับสูงกว่าอุจในเวลาต้องใช้</t>
  </si>
  <si>
    <t>อังคาร, มหาจักร, ลัคนา</t>
  </si>
  <si>
    <t>ดาว 3 + ดาว 4 คุณภาพดี สัมพันธ์ลัคนา</t>
  </si>
  <si>
    <t>มีเหตุผล (ตรรกะ) และความละเอียดอ่อน เป็นพื้นฐานการเรียนรู้และตัดสินใจที่ดี</t>
  </si>
  <si>
    <t>อังคาร, พุธ, ลัคนา, ตรรกะ</t>
  </si>
  <si>
    <t>ดาว 4 (พุธ) สัมพันธ์ลัคนา</t>
  </si>
  <si>
    <t>ช่างพูด พูดเก่ง — ใช้สอบลัคนาเป็นอันดับแรก</t>
  </si>
  <si>
    <t>พุธ, ลัคนา, พูดเก่ง, สอบลัคนา</t>
  </si>
  <si>
    <t>ดาว 4 ไม่สัมพันธ์ลัคนา</t>
  </si>
  <si>
    <t>พูดน้อย ไม่พูด — ยกเว้นถูกบังคับจากอาชีพ แต่ก็ไม่พูดเมื่อไม่จำเป็น</t>
  </si>
  <si>
    <t>พุธ, ไม่สัมพันธ์ลัคนา, พูดน้อย</t>
  </si>
  <si>
    <t>ดาว 4 ตกภพมรณะ</t>
  </si>
  <si>
    <t>พูดจาสับสน ต้นชนปลายไม่ถูก นึกจะพูดก็พูด นึกจะหยุดก็หยุด</t>
  </si>
  <si>
    <t>พุธ, มรณะ, พูดสับสน</t>
  </si>
  <si>
    <t>ดาว 4 สัมพันธ์กับดาว 6</t>
  </si>
  <si>
    <t>มีวาทศิลป์ การประพันธ์ หรือมีศิลปะในการพูดจา</t>
  </si>
  <si>
    <t>พุธ, ศุกร์, วาทศิลป์</t>
  </si>
  <si>
    <t>ดาว 4 สัมพันธ์กับดาว 7</t>
  </si>
  <si>
    <t>พูดจาหนักแน่นจริงจัง บางครั้งถึงกับแข็งกร้าว</t>
  </si>
  <si>
    <t>พุธ, เสาร์, พูดจริงจัง</t>
  </si>
  <si>
    <t>ดาว 5 (พฤหัส) สัมพันธ์ลัคนา + ดาว 3 แรง</t>
  </si>
  <si>
    <t>โมโหได้แต่สติยั้งทัน ไม่โมโหนาน — ดาว 5 ลดความร้ายของดาว 3</t>
  </si>
  <si>
    <t>พฤหัส, อังคาร, สติ, ลัคนา</t>
  </si>
  <si>
    <t>ดาว 5 ไม่สัมพันธ์ลัคนา + ดาว 3 แรง</t>
  </si>
  <si>
    <t>โมโหร้ายอาจขาดสติ พูดออกไปโดยไม่ทันคิด</t>
  </si>
  <si>
    <t>พฤหัส, ไม่สัมพันธ์ลัคนา, อังคาร, ขาดสติ</t>
  </si>
  <si>
    <t>ดาว 5 เป็นตนุเศษ (ตนุลัคน์ในราศีธนูหรือมีน)</t>
  </si>
  <si>
    <t>สันดานแท้เป็นคนใจอ่อน เมตตา แม้ภายนอกดูโกง/ดุร้าย/จริงจัง</t>
  </si>
  <si>
    <t>พฤหัส, ตนุเศษ, ใจอ่อน</t>
  </si>
  <si>
    <t>ดาว 5 คุณภาพดีมาก (อุจ/อุจจาภิมุข/อุจจาวิลาส) สัมพันธ์ลัคนา + ดาว 8 อ่อน</t>
  </si>
  <si>
    <t>มองโลกแง่ดีเกินไป ถูกหลอกง่าย อาจหลงธรรมะ ทำบุญจนเกินตัวจนเดือดร้อน</t>
  </si>
  <si>
    <t>พฤหัส, อุจ, หลงดี, ลัคนา</t>
  </si>
  <si>
    <t>ดาว 5 เสีย สัมพันธ์ลัคนา</t>
  </si>
  <si>
    <t>มีคุณธรรมบ้าง แต่ไม่เคร่งครัด ผู้ใหญ่ที่ช่วยเหลืออำนาจน้อย</t>
  </si>
  <si>
    <t>พฤหัส, เสีย, ลัคนา</t>
  </si>
  <si>
    <t>ดาว 5 เสีย ไม่สัมพันธ์ลัคนา</t>
  </si>
  <si>
    <t>ไม่มีคุณธรรมเลย โกงได้ทุกอย่าง</t>
  </si>
  <si>
    <t>พฤหัส, เสีย, ไม่สัมพันธ์ลัคนา, โกง</t>
  </si>
  <si>
    <t>ดาว 6 (ศุกร์) + ดาว 8 (ราหู) ปกติหรือดี สัมพันธ์ลัคนา</t>
  </si>
  <si>
    <t>มีศิลปะในการหลอกลวง เหมาะดารา/นักแสดง หรือนักต้มตุ๋น</t>
  </si>
  <si>
    <t>ศุกร์, ราหู, ลัคนา, หลอกลวง</t>
  </si>
  <si>
    <t>ดาว 6 เสีย สัมพันธ์ลัคนา</t>
  </si>
  <si>
    <t>ศิลปะแปลกๆ เข้าใจยาก เพ้อฝันเกินจริง แต่ยังมีส่วนดี — ไม่ถูกโฉลก กว่าจะยอมรับต้องใช้เวลานาน</t>
  </si>
  <si>
    <t>ศุกร์, เสีย, ลัคนา, ไม่ถูกโฉลก</t>
  </si>
  <si>
    <t>ดาว 7 (เสาร์) สัมพันธ์ลัคนา + ดาว 8 (ราหู) สัมพันธ์กัน</t>
  </si>
  <si>
    <t>ส่วนใหญ่ร่ำรวย สร้างฐานะได้ด้วยตนเอง แม้ดาวการเงินคุณภาพปกติ</t>
  </si>
  <si>
    <t>เสาร์, ราหู, ลัคนา, รวย</t>
  </si>
  <si>
    <t>ดาว 7 สัมพันธ์ลัคนา + ดาว 3 สัมพันธ์ลัคนา</t>
  </si>
  <si>
    <t>คิดรอบคอบแต่ลงมือว่องไว หรือทำงานเหนื่อยยากได้ดีพร้อมกับขยัน (ไม่หักล้างกัน)</t>
  </si>
  <si>
    <t>เสาร์, อังคาร, ลัคนา</t>
  </si>
  <si>
    <t>ดาว 7 จร เข้าภพปัตนิ</t>
  </si>
  <si>
    <t>มีปัญหาเรื่องคู่ครอง/หุ้นส่วน 100% ส่งผลถึงเจ้าชาตา 80%</t>
  </si>
  <si>
    <t>เสาร์, จร, ปัตนิ</t>
  </si>
  <si>
    <t>ดาว 7 จร สัมพันธ์ลัคนาหรือตนุลัคน์</t>
  </si>
  <si>
    <t>ให้โทษถึงเจ้าชาตา — ยกเว้นถ้าสัมพันธ์ดาว 8 เดิมและสัมพันธ์ลัคนา กลับให้คุณมาก</t>
  </si>
  <si>
    <t>เสาร์, จร, ลัคนา, ตนุลัคน์</t>
  </si>
  <si>
    <t>ดาว 8 (ราหู) กุมลัคนา คุณภาพปกติ</t>
  </si>
  <si>
    <t>ร้ายแรงสุด ลุ่มหลง คดโกง ดาวอื่นลดทอนได้ยาก ถ้าไม่ได้รับการอบรมสั่งสอนดี กลับตัวยากมาก</t>
  </si>
  <si>
    <t>ราหู, ลัคนา, กุม, ร้ายแรง</t>
  </si>
  <si>
    <t>ดาว 8 เล็ง/โยค/ตรีโกณลัคนา + ดาว 1, 3, 5 อย่างน้อย 1 ดวงสัมพันธ์ลัคนา</t>
  </si>
  <si>
    <t>ราหูเบาบาง ฉลาดทางโลก ลดทอนความโกง-ลุ่มหลงลงได้มาก</t>
  </si>
  <si>
    <t>ราหู, ลัคนา, เล็ง, ดาวช่วย</t>
  </si>
  <si>
    <t>ดาว 8 ดี ไม่สัมพันธ์ลัคนา</t>
  </si>
  <si>
    <t>ฉลาดทันคนทันโลก แต่ตัวเองไม่โกง ลุ่มหลงอะไรก็ไม่นาน</t>
  </si>
  <si>
    <t>ราหู, ดี, ไม่สัมพันธ์ลัคนา, ผลดี</t>
  </si>
  <si>
    <t>ดาว 8 เสีย สัมพันธ์ลัคนา</t>
  </si>
  <si>
    <t>งมงาย เชื่อไสยศาสตร์ หลอกลวงแต่ถูกจับได้ง่าย (ไม่ถูกโฉลก)</t>
  </si>
  <si>
    <t>ราหู, เสีย, ลัคนา, งมงาย</t>
  </si>
  <si>
    <t>ดาว 8 จร ทุกกรณี</t>
  </si>
  <si>
    <t>ให้โทษอย่างเดียว แม้จรมาหาดาว 7 คู่มิตร ก็ยังไม่ให้คุณ</t>
  </si>
  <si>
    <t>ราหู, จร, โทษ</t>
  </si>
  <si>
    <t>ดาว 9 (เกตุ) ร่วมราศีกับดาวดี</t>
  </si>
  <si>
    <t>ทวีคูณผลดีของดาวนั้น — ดวงชาตา/ภพการเงินเข้มแข็งยิ่งขึ้น</t>
  </si>
  <si>
    <t>เกตุ, ทวีคูณ, ดาวดี</t>
  </si>
  <si>
    <t>ดาว 9 ร่วมราศีกับดาวเสีย</t>
  </si>
  <si>
    <t>ทวีคูณผลเสียของดาวนั้น — ดวงชาตาอ่อนแอหรือภพนั้นเสียหายมากขึ้น</t>
  </si>
  <si>
    <t>ดาว 5 + ดาว 0 ร่วมราศีสัมพันธ์ลัคนา + ดาว 9 สัมพันธ์เข้าด้วย</t>
  </si>
  <si>
    <t>สติแปรปรวนมาก กริยาแปลกๆ ความเชื่อแปลกๆ อาจถึงขั้นเป็นร่างทรงหรือผีเข้า</t>
  </si>
  <si>
    <t>พฤหัส, มฤตยู, เกตุ, ลัคนา, จิตอ่อน</t>
  </si>
  <si>
    <t>ดาว 0 (มฤตยู) สัมพันธ์ลัคนา + กรรมพันธุ์ดี ไม่มีโรคประจำตัว</t>
  </si>
  <si>
    <t>สุขภาพดีตลอดชีวิต แต่มักเกิดอุบัติเหตุบ่อยทั้งเล็กและใหญ่</t>
  </si>
  <si>
    <t>มฤตยู, ลัคนา, อุบัติเหตุ, สุขภาพ</t>
  </si>
  <si>
    <t>ดาว 0 จร อยู่ในภพใดๆ</t>
  </si>
  <si>
    <t>ให้โทษในภพนั้น แต่ไม่รุนแรงด้วยตัวเอง — เมื่อดาว 7/8/3 จรมาสมทบจะให้โทษทวีคูณ</t>
  </si>
  <si>
    <t>มฤตยู, จร, ดาวร้ายสมทบ</t>
  </si>
  <si>
    <t>ดาวดีหลายดวงแต่ไม่สัมพันธ์ลัคนา</t>
  </si>
  <si>
    <t>ทำงานมากมายแต่ไม่รวย ไม่มีงานที่ถูกโฉลก ทำได้ไม่ต่อเนื่อง — แนะนำมีหุ้นส่วนหรือให้คนอื่นทำแทน</t>
  </si>
  <si>
    <t>ไม่ถูกโฉลก, ไม่สัมพันธ์ลัคนา, หุ้นส่วน</t>
  </si>
  <si>
    <t>chapter_40</t>
  </si>
  <si>
    <t>บทสรุปท้ายเล่ม</t>
  </si>
  <si>
    <t>ใช้วิชาโหราศาสตร์ไทย แนวตรรกะ ครบ ch14-39</t>
  </si>
  <si>
    <t>จบภาควิชาการแล้ว — บทถัดไปเป็นภาคผนวก กรณีศึกษา และ Q&amp;A ปลีกย่อย</t>
  </si>
  <si>
    <t>สรุป, ภาคผนวก</t>
  </si>
  <si>
    <t>chapter_41</t>
  </si>
  <si>
    <t>กรณีศึกษา 1009 — ราหูแรงกว่าพฤหัส, พุธเสีย</t>
  </si>
  <si>
    <t>ดาว 8 (เกษตร) กุมลัคนา และแรงกว่าดาว 5</t>
  </si>
  <si>
    <t>เป็นคนเจ้าเล่ห์ ยิ่งแก่ยิ่งเจ้าเล่ห์และลุ่มหลงง่ายขึ้น ทันคนแต่ก็อาจถูกหลอกได้บางครั้ง</t>
  </si>
  <si>
    <t>ราหู, เกษตร, ลัคนา, ยิ่งแก่ยิ่งเจ้าเล่ห์</t>
  </si>
  <si>
    <t>ดาว 0 ตรีโกณลัคนา สัมพันธ์ดาว 3, 5, 8 กุมลัคนา</t>
  </si>
  <si>
    <t>ดาวทั้ง 3 แปรปรวนเป็นพักๆ — คุณธรรมแปรปรวน สติเสียชั่วคราว สุขภาพดีแต่บางครั้งเจ็บป่วยหรืออุบัติเหตุใหญ่ได้</t>
  </si>
  <si>
    <t>มฤตยู, ตรีโกณ, แปรปรวน, สุขภาพ</t>
  </si>
  <si>
    <t>ดาว 4 เสีย (ประเกษตร) สัมพันธ์ลัคนา + ดาว 0 เล็งดาว 4</t>
  </si>
  <si>
    <t>พูดจาจุ้จี้จุกจิก ขี้บ่น ไม่น่าฟัง ไม่ถูกโฉลกแม้สัมพันธ์ลัคนา</t>
  </si>
  <si>
    <t>พุธ, เสีย, มฤตยู, ลัคนา, ไม่ถูกโฉลก</t>
  </si>
  <si>
    <t>ตนุลัคน์กุมลัคนา (ตนุลัคน์อยู่ในภพตนุ)</t>
  </si>
  <si>
    <t>ให้ความสำคัญกับตัวเองก่อนทุกเรื่อง บางครั้งถึงขั้นเห็นแก่ตัว</t>
  </si>
  <si>
    <t>ตนุลัคน์, ภพตนุ, เห็นแก่ตัว</t>
  </si>
  <si>
    <t>เจ้าเรือนปัตนิ (ดาว 1 จุลจักร) ลอยอยู่ในภพวินาศ</t>
  </si>
  <si>
    <t>ได้คู่ดีพอประมาณ แต่มักต้องเลิกรากันหรือแยกกันอยู่</t>
  </si>
  <si>
    <t>ปัตนิ, วินาศ, เลิกรา</t>
  </si>
  <si>
    <t>เจ้าเรือนกฎุมพะ (ดาว 5) กุมลัคนา คุณภาพดี</t>
  </si>
  <si>
    <t>เก็บเงินเก่ง รักษาทรัพย์ไว้ได้ดี ไม่รั่วไหล (อาจถึงขั้นขี้เหนียว)</t>
  </si>
  <si>
    <t>กฎุมพะ, พฤหัส, ลัคนา, เก็บเงินเก่ง</t>
  </si>
  <si>
    <t>ดาว 7 ดีมาก (อุจจาวิลาส) ตกภพมรณะ ไม่สัมพันธ์ลัคนา</t>
  </si>
  <si>
    <t>วางแผนดี รอบคอบ แต่ไม่ทำตามแผน — ที่ดิน งานเหนื่อยยากทำแล้วเสียหายแบบไม่ได้คืน ห้ามทำอาชีพนี้</t>
  </si>
  <si>
    <t>เสาร์, มรณะ, ไม่สัมพันธ์ลัคนา, ที่ดิน, ห้ามทำ</t>
  </si>
  <si>
    <t>ดาว 1 หรือ 6 ดี แต่ตกภพวินาศ ไม่สัมพันธ์ลัคนา</t>
  </si>
  <si>
    <t>ทำได้ดีแต่ไม่ยั่งยืน ไม่ถูกโฉลก ไม่ควรทำเป็นอาชีพหลัก</t>
  </si>
  <si>
    <t>วินาศ, ไม่สัมพันธ์ลัคนา, ไม่ยั่งยืน</t>
  </si>
  <si>
    <t>chapter_42</t>
  </si>
  <si>
    <t>กรณีศึกษา 1010 — ราหูแรง ไม่มีดาวกุมลัคนา</t>
  </si>
  <si>
    <t>ไม่มีดาวกุมลัคนา</t>
  </si>
  <si>
    <t>ไม่มีลักษณะภายนอกที่เด่นชัด ดูเป็นคนธรรมดาทั่วไป</t>
  </si>
  <si>
    <t>ลัคนา, ไม่มีดาวกุม, ลักษณะภายนอก</t>
  </si>
  <si>
    <t>ดาว 8 อุจจาภิมุข โยคหลังลัคนา + ดาว 5 (อุจ) ตกภพอริ ไม่สัมพันธ์ลัคนา</t>
  </si>
  <si>
    <t>ลุ่มหลงหนัก ถอนตัวไม่ขึ้น เพราะขาดสติยั้งคิด ชีวิตเสียหายได้ง่ายที่สุด</t>
  </si>
  <si>
    <t>ราหู, พฤหัส, อริ, ลุ่มหลง, ขาดสติ</t>
  </si>
  <si>
    <t>ดาว 5 (อุจ) ตกภพอริ ไม่สัมพันธ์ลัคนา + ดาว 0 ร่วมราศี + ดาว 9 ตรีโกณ</t>
  </si>
  <si>
    <t>สติแปรปรวนทวีคูณ จิตอ่อนไหว อาจขาดสติได้ง่าย (แต่ยังไม่ถึงขั้นผีเข้าเพราะไม่สัมพันธ์ลัคนา)</t>
  </si>
  <si>
    <t>พฤหัส, มฤตยู, เกตุ, สติแปรปรวน</t>
  </si>
  <si>
    <t>เจ้าเรือนกฎุมพะ (ดาว 5 อุจ) ตกภพอริ + ดาว 0 ร่วมราศี + ดาว 9 ตรีโกณ</t>
  </si>
  <si>
    <t>การเงินมั่นคงระดับสูง แต่เจ้าชาตาไม่สนใจเก็บรักษา ใช้จ่ายแปรปรวนไม่เห็นคุณค่า</t>
  </si>
  <si>
    <t>กฎุมพะ, อริ, มฤตยู, เกตุ, ใช้เงินเก่ง</t>
  </si>
  <si>
    <t>ตนุลัคน์ (ดาว 8) ลอยอยู่ในภพลาภะ</t>
  </si>
  <si>
    <t>ให้ความสำคัญกับผลประโยชน์ที่ได้มาง่ายๆ มักเห็นแก่ได้</t>
  </si>
  <si>
    <t>ตนุลัคน์, ราหู, ลาภะ, เห็นแก่ได้</t>
  </si>
  <si>
    <t>ดาว 0 ไม่สัมพันธ์ลัคนา หรือตนุลัคน์ หรือดาว 3</t>
  </si>
  <si>
    <t>สุขภาพดีโดยรวม ไม่มีอุบัติเหตุร้ายแรง</t>
  </si>
  <si>
    <t>มฤตยู, ไม่สัมพันธ์ลัคนา, สุขภาพดี</t>
  </si>
  <si>
    <t>chapter_42a</t>
  </si>
  <si>
    <t>กรณีศึกษา 1024 — ชีวิตมหาจักร ดาวการเงินราชาโชค</t>
  </si>
  <si>
    <t>ดาว 3 (มหาจักร) กุมลัคนา</t>
  </si>
  <si>
    <t>ประสบความสำเร็จแบบก้าวกระโดด ผาดโผน ไม่ปกติธรรมดา เปลี่ยนอาชีพหลายครั้ง แต่แต่ละครั้งก้าวหน้าเร็ว</t>
  </si>
  <si>
    <t>อังคาร, มหาจักร, ลัคนา, ก้าวกระโดด</t>
  </si>
  <si>
    <t>ดาว 3 (อุจ) สัมพันธ์ลัคนา — เปรียบกับมหาจักร</t>
  </si>
  <si>
    <t>อุจ = เจ้าเหตุผลตลอดเวลา น่าเบื่อ / มหาจักร = ตรรกะสูงสุดบางเวลา แต่ไม่น่าเบื่อ</t>
  </si>
  <si>
    <t>อังคาร, อุจ, มหาจักร, เปรียบเทียบ</t>
  </si>
  <si>
    <t>ดาว 0 ไม่สัมพันธ์ลัคนา ตนุลัคน์ หรือดาว 3 + พันธุกรรมดี</t>
  </si>
  <si>
    <t>ไม่เคยเจ็บป่วยต้องนอนโรงพยาบาล ไม่เคยประสบอุบัติเหตุ</t>
  </si>
  <si>
    <t>มฤตยู, ไม่สัมพันธ์ลัคนา, สุขภาพดี, อุบัติเหตุ</t>
  </si>
  <si>
    <t>ดาว 0 ไม่สัมพันธ์ลัคนา</t>
  </si>
  <si>
    <t>ไม่มีเซนส์ในสิ่งลึกลับ — คนที่ดาว 0 ไม่สัมพันธ์ลัคนา แทบไม่เคยพบว่ามีเซนส์เลย</t>
  </si>
  <si>
    <t>มฤตยู, ไม่สัมพันธ์ลัคนา, เซนส์, ลึกลับ</t>
  </si>
  <si>
    <t>ดาว 0 สัมพันธ์ลัคนา</t>
  </si>
  <si>
    <t>มีเซนส์สิ่งลึกลับประมาณ 10-20% เท่านั้น ไม่ใช่ทุกราย</t>
  </si>
  <si>
    <t>มฤตยู, สัมพันธ์ลัคนา, เซนส์, สถิติ</t>
  </si>
  <si>
    <t>ดาว 7 จรทับลัคนา + ดาว 8 เดิมสัมพันธ์ลัคนา (คู่มิตรใหญ่)</t>
  </si>
  <si>
    <t>ดาว 7 จรกลับให้คุณมากแทนที่จะให้โทษ — ถือเป็นข้อยกเว้นสำคัญ</t>
  </si>
  <si>
    <t>เสาร์, จร, ราหู, คู่มิตร, ให้คุณ</t>
  </si>
  <si>
    <t>ดาว 7 จรทับลัคนา + ดาว 8 เดิมในลัคนา + ดาว 0 จร + ดาว 3 จร สัมพันธ์ลัคนา ครบ 4 ดวง + ดาว 5 ไม่สัมพันธ์ลัคนา</t>
  </si>
  <si>
    <t>ตำราเดิมถือว่าถึงฆาต แต่ถ้าดวงชาตาเข้มแข็งมากและดาว 7 จรได้คู่มิตร (ดาว 8) อาจไม่เป็นอะไรเลย</t>
  </si>
  <si>
    <t>เสาร์, มฤตยู, อังคาร, จร, ดวงถึงฆาต, ข้อยกเว้น</t>
  </si>
  <si>
    <t>ดาวการเงิน (เทวีโชค) + ดาวคู่ธาตุ + ดาว 9 ร่วมราศี</t>
  </si>
  <si>
    <t>คุณภาพทวีคูณจนใกล้เทียบราชาโชค — ไม่เคยขัดสนเงิน ได้มาแบบง่ายๆ ไม่ต้องออกแรง</t>
  </si>
  <si>
    <t>การเงิน, เทวีโชค, เกตุ, ทวีคูณ, ราชาโชค</t>
  </si>
  <si>
    <t>ดาว 8 (ปกติ) เล็งลัคนา + ดาว 3 คู่ธาตุ + ดาว 5 ตรีโกณลัคนา</t>
  </si>
  <si>
    <t>ทันเล่ห์เหลี่ยม ไม่โกง ไม่ลุ่มหลง มีสมาธิในวิชาที่สนใจ — ผลดีมากกว่าผลเสีย</t>
  </si>
  <si>
    <t>ราหู, ปกติ, เล็ง, ลัคนา, ผลดี</t>
  </si>
  <si>
    <t>เจ้าเรือนกฎุมพะไปอยู่ภพปุตตะ</t>
  </si>
  <si>
    <t>เงินทองมักหมดหรือใช้จ่ายไปกับลูกหลานหรือบริวารเป็นหลัก</t>
  </si>
  <si>
    <t>กฎุมพะ, ปุตตะ, ลูกหลาน</t>
  </si>
  <si>
    <t>โชคใหญ่กรณีที่ 1: ดาว 7 จรเล็งดาว 8 เดิม + ดาว 1 จรทับดาว 5 เดิม (2 คู่) + มีดาว 5 จรทับดาว 1 และดาว 3 จรเล็งดาว 6 เพิ่มอีก</t>
  </si>
  <si>
    <t>โชคใหญ่มากที่สุด — เป็นกรณีที่พิสูจน์ได้ชัดเจน สามารถยกราคาขายเพิ่มได้อีก 1-2 ล้าน</t>
  </si>
  <si>
    <t>โชคใหญ่, กรณีที่1, เสาร์, จร, พิสูจน์แล้ว</t>
  </si>
  <si>
    <t>chapter_43</t>
  </si>
  <si>
    <t>กรณีศึกษา 1049 — ดาวการเงินดี ได้คู่ที่ดาวการเงินเสีย</t>
  </si>
  <si>
    <t>เจ้าเรือนกฎุมพะ (ดาว 5 อุจ) ลอยในภพศุภะ</t>
  </si>
  <si>
    <t>การเงินดีมาก สม่ำเสมอระดับสูง มักใช้เงินในทางหาความสุขหรือการเดินทาง</t>
  </si>
  <si>
    <t>กฎุมพะ, พฤหัส, อุจ, ศุภะ, ใช้เงินหาความสุข</t>
  </si>
  <si>
    <t>ดาว 8 ลอยในภพลาภะ</t>
  </si>
  <si>
    <t>มีโชคลาภเรื่องหวย หุ้น อบายมุข</t>
  </si>
  <si>
    <t>ราหู, ลาภะ, โชคลาภ</t>
  </si>
  <si>
    <t>เจ้าเรือนลาภะ (ดาว 4 อุจจาภิมุข) ลอยในภพวินาศ</t>
  </si>
  <si>
    <t>โชคลาภที่ได้มา มักหมดไปอย่างรวดเร็ว</t>
  </si>
  <si>
    <t>ลาภะ, วินาศ, โชคลาภ, หมดเร็ว</t>
  </si>
  <si>
    <t>เจ้าเรือนกัมมะ (ดาว 1 นิจ) ลอยในภพวินาศ</t>
  </si>
  <si>
    <t>การงานต่างๆไม่คงทน ทำแล้วก็ต้องเลิกรา</t>
  </si>
  <si>
    <t>กัมมะ, นิจ, วินาศ, เปลี่ยนงาน</t>
  </si>
  <si>
    <t>ดาวการเงินดีมาก (อุจ) + พื้นเพตระกูลมีที่ดินมาก</t>
  </si>
  <si>
    <t>ได้รับมรดกและรายได้จากผู้ให้กำเนิดอย่างต่อเนื่อง ไม่ต้องดิ้นรนเองมาก — พื้นเพของตนขยายผลดวง</t>
  </si>
  <si>
    <t>การเงิน, พื้นเพ, มรดก, อุจ</t>
  </si>
  <si>
    <t>ดาวการเงินดี แต่งงานกับคนดาวการเงินเสีย (ประเกษตร)</t>
  </si>
  <si>
    <t>ฝ่ายการเงินดีควบคุมเรื่องเงินเอง ส่วนคู่ครองดาวการเงินเสียจะขยันทำงานทดแทน — เติมเต็มกัน</t>
  </si>
  <si>
    <t>การเงิน, คู่ครอง, เติมเต็ม</t>
  </si>
  <si>
    <t>ดาวจร: เสาร์(7) จรทับดาว 8 เดิม (คู่มิตร) + ดาว 5 จรเล็งดาว 1 (คู่มิตร) + ดาว 3 จรทับดาว 5 (คู่สมพล) + ดาว 6 จรทับดาว 4 (คู่ธาตุ)</t>
  </si>
  <si>
    <t>เข้าลักษณะโชคใหญ่ — ได้รับเงินก้อนใหญ่หลายสิบล้าน</t>
  </si>
  <si>
    <t>โชคใหญ่, จร, คู่มิตร, คู่สมพล, คู่ธาตุ</t>
  </si>
  <si>
    <t>chapter_44</t>
  </si>
  <si>
    <t>กรณีศึกษา 1050 — ดาวการเงินเสีย ได้คู่ที่ดาวการเงินดี</t>
  </si>
  <si>
    <t>เจ้าเรือนกฎุมพะ (ดาว 6 ประเกษตร) + ดาว 0 อยู่ในภพกฎุมพะ</t>
  </si>
  <si>
    <t>ทรัพย์สินไม่มั่นคง ใช้เงินสุรุ่ยสุร่าย หมดได้เร็ว — ต้องให้คนอื่นควบคุมเรื่องเงิน</t>
  </si>
  <si>
    <t>กฎุมพะ, ประเกษตร, มฤตยู, ใช้เงินเก่ง</t>
  </si>
  <si>
    <t>เจ้าเรือนปัตนิ (ดาว 5 ประเกษตร) กุมลัคนา</t>
  </si>
  <si>
    <t>คู่ครองมาเป็นภาระ ต้องดูแล — แต่ถ้าเป็นดาวคู่มิตรกับดาวกุมลัคนา ก็เข้ากันได้ดี</t>
  </si>
  <si>
    <t>ปัตนิ, ประเกษตร, ลัคนา, ภาระ</t>
  </si>
  <si>
    <t>ลัคนาสองคน สัมพันธ์กันโดยโยคแก่กัน</t>
  </si>
  <si>
    <t>ถูกโฉลกกัน ดวงชาตาสมพงศ์กัน — เป็นเกณฑ์หนึ่งในการเลือกคู่</t>
  </si>
  <si>
    <t>คู่ครอง, ลัคนา, โยค, สมพงศ์</t>
  </si>
  <si>
    <t>ดาวกุมลัคนาของทั้งสองฝ่ายเป็นคู่สมพลกัน</t>
  </si>
  <si>
    <t>ทำให้มีกำลังเพิ่มขึ้นทั้งคู่ — เสริมซึ่งกันและกัน</t>
  </si>
  <si>
    <t>คู่ครอง, คู่สมพล, ดาวกุมลัคนา, เสริมกัน</t>
  </si>
  <si>
    <t>เจ้าเรือนปัตนิของทั้งสองฝ่าย ต่างเป็นประเกษตรกุมลัคนาของอีกฝ่าย</t>
  </si>
  <si>
    <t>ต่างเป็นภาระในการดูแลซึ่งกันและกัน แต่ก็ช่วยเหลือดูแลกันเป็นอย่างดี</t>
  </si>
  <si>
    <t>คู่ครอง, ปัตนิ, ประเกษตร, ดูแลกัน</t>
  </si>
  <si>
    <t>ดาวการเงินเสีย (ประเกษตร) + ดวงชาตาเข้มแข็ง + คู่ครองดาวการเงินดี + พื้นเพตระกูลดี</t>
  </si>
  <si>
    <t>สามารถสร้างฐานะได้ เพราะคู่ครองเติมเต็ม — ถ้าอยู่คนเดียวและพื้นเพไม่ดีจะยากมาก</t>
  </si>
  <si>
    <t>การเงิน, คู่ครอง, เติมเต็ม, พื้นเพ</t>
  </si>
  <si>
    <t>chapter_45</t>
  </si>
  <si>
    <t>กรณีศึกษา 3039 — อุจเล็งอุจ กลายเป็นนิจ ล้มทั้งยืน</t>
  </si>
  <si>
    <t>ดาวตนุลัคน์ (อุจ) เล็งดาวเจ้าเรือนการเงิน (อุจ)</t>
  </si>
  <si>
    <t>อุจเล็งอุจ กลายเป็นนิจทั้งคู่ — รุ่งโรจน์ดีแล้ว เมื่อเสื่อมก็เสื่อมกะทันหัน ล้มทั้งยืนทั้งตัวเองและทรัพย์สิน</t>
  </si>
  <si>
    <t>อุจ, เล็ง, นิจ, ล้มทั้งยืน, ตนุลัคน์, การเงิน</t>
  </si>
  <si>
    <t>ดาวจร: พฤหัส(5)จรทับพฤหัส(5)+มฤตยู(0)เดิม + อังคาร(3)จรทับอังคาร(3)เดิม + ราหู(8)จรเล็งลัคนา + เสาร์(7)จรตกภพมรณะ + ดาว 5 จรอุจเล็ง 3 จรอุจ</t>
  </si>
  <si>
    <t>ดาวจรทับดาวเดิมที่อุจเล็งอุจ ซ้ำเติมให้เป็นนิจซ้ำอีกรอบ — เกิดเหตุการณ์ร้ายแรง แม้ดวงเข้มแข็งก็หนีไม่พ้น</t>
  </si>
  <si>
    <t>จร, อุจเล็งอุจ, นิจ, ดาวร้ายซ้ำ, ร้ายแรง</t>
  </si>
  <si>
    <t>ดาว 0 จร ทับลัคนา รอให้โทษหลายปี + มีดาวร้ายจรสมทบ 2-3 คู่</t>
  </si>
  <si>
    <t>โทษระเบิดออกมารุนแรง — ดวงเข้มแข็งขนาดไหนก็ตายหรือล้มทั้งยืนได้</t>
  </si>
  <si>
    <t>มฤตยู, จร, ลัคนา, ดาวร้ายสมทบ, ล้มทั้งยืน</t>
  </si>
  <si>
    <t>chapter_46</t>
  </si>
  <si>
    <t>กรณีศึกษา 1005 — ดวงถึงฆาต เพราะดาวร้ายให้โทษ</t>
  </si>
  <si>
    <t>ดาว 7 จรทับลัคนา + ดาว 0 จรเล็งลัคนา + ตนุลัคน์จรตกภพมรณะ + ดาว 3 จรนิจทับดาว 0 เดิม</t>
  </si>
  <si>
    <t>ดวงถึงฆาต — หลายอย่างประกอบกัน แม้ดาว 5 จรเล็งลัคนาช่วย ก็ยังช่วยไม่ได้ (อาจแปลว่าเสียชีวิตอย่างสงบไม่ทรมาน)</t>
  </si>
  <si>
    <t>เสาร์, มฤตยู, อังคาร, จร, ถึงฆาต, ตนุลัคน์, มรณะ</t>
  </si>
  <si>
    <t>วันเสียชีวิต: ดาว 0, 3, 7, 1 สัมพันธ์ลัคนาทุกดวง + ตนุลัคน์จรตกภพมรณะ + ดาว 3 จรทับดาว 0 เดิม</t>
  </si>
  <si>
    <t>ร้ายแรงสุดขีด — pattern นี้บ่งชี้ดวงถึงฆาตได้ชัดเจนที่สุด</t>
  </si>
  <si>
    <t>ถึงฆาต, pattern, มรณะ, ดาวร้ายครบ</t>
  </si>
  <si>
    <t>ดาว 5 จรเล็งลัคนา ขณะดาวร้ายจรครบหลายดวง</t>
  </si>
  <si>
    <t>ดาว 5 จรช่วยได้เพียงทำให้เสียชีวิตอย่างสงบ ไม่ทรมาน — ไม่สามารถยับยั้งความตายได้เมื่อดาวร้ายครบมาก</t>
  </si>
  <si>
    <t>พฤหัส, จร, ช่วยชีวิต, ขีดจำกัด</t>
  </si>
  <si>
    <t>chapter_47</t>
  </si>
  <si>
    <t>กรณีศึกษา 1063 — พระแรงกว่าโจร, มฤตยูให้โทษ</t>
  </si>
  <si>
    <t>ดาว 8 (อุจ) ตกภพมรณะ ไม่สัมพันธ์ลัคนา + ดาว 5 ดีกุมลัคนา</t>
  </si>
  <si>
    <t>ไม่ใช้เล่ห์เหลี่ยมโกง แต่ฉลาดทางเล่ห์เหลี่ยมมาก ไม่มีใครหลอกได้ง่าย — พระแรงกว่าโจรแม้ราหูมีกำลังมากกว่าพฤหัส</t>
  </si>
  <si>
    <t>ราหู, อุจ, มรณะ, พฤหัส, พระแรงกว่าโจร</t>
  </si>
  <si>
    <t>ดาว 0 เล็งลัคนาในพื้นดวงชาตาเดิม</t>
  </si>
  <si>
    <t>ชีวิตแปรปรวนได้ทุกอย่างที่คาดไม่ถึง แม้ดวงชาตาเข้มแข็ง</t>
  </si>
  <si>
    <t>มฤตยู, เล็ง, ลัคนา, แปรปรวน</t>
  </si>
  <si>
    <t>ดาว 7 จร + ดาว 8 จร เล็งลัคนา + ดาว 0 เดิมเล็งลัคนาอยู่แล้ว (3 ชั้น)</t>
  </si>
  <si>
    <t>เป็นมะเร็งร้ายแรง ชีวิตเปลี่ยนโดยสิ้นเชิง แม้ดาว 0 จรไม่ได้อยู่ในตำแหน่งร้าย</t>
  </si>
  <si>
    <t>เสาร์, ราหู, มฤตยู, จร, มะเร็ง, 3ชั้น</t>
  </si>
  <si>
    <t>วันเสียชีวิต: ตนุลัคน์จรเล็งดาว 0 จร + ดาว 7 และ 8 จรเล็งลัคนา + ดาว 0 เดิมเล็งลัคนา + ดาว 5 จรโยคหน้า (อุจจาวิลาส)</t>
  </si>
  <si>
    <t>ดวงชาตาเข้มแข็งแท้ก็เสียชีวิตได้ — ดาว 5 จรช่วยไม่ทัน (หรือช่วยให้ตายสงบ)</t>
  </si>
  <si>
    <t>ถึงฆาต, ตนุลัคน์, จร, มฤตยู, พฤหัส, ขีดจำกัด</t>
  </si>
  <si>
    <t>chapter_48</t>
  </si>
  <si>
    <t>กรณีศึกษา 1098 — มัวเมาโดยแท้, เสาร์จรทับเสาร์เดิมถึงตาย</t>
  </si>
  <si>
    <t>ดาว 8 (อุจจาภิมุข) เล็งลัคนา + ดาว 9 ร่วมราศีทวีคูณ + ดาว 5 ตกภพวินาศ</t>
  </si>
  <si>
    <t>มัวเมาอย่างหนักตลอดชีวิต ไม่มีสติยั้งคิด ติดยาทุกชนิด ถอนตัวไม่ขึ้น</t>
  </si>
  <si>
    <t>ราหู, เกตุ, พฤหัส, วินาศ, มัวเมา, ไม่มีสติ</t>
  </si>
  <si>
    <t>ดาว 8 (อุจจาภิมุข) เล็งลัคนา + ดาว 5 ดีสัมพันธ์ลัคนา — เปรียบเทียบ</t>
  </si>
  <si>
    <t>ถ้ามีดาว 5 ดีสัมพันธ์ลัคนา จะแค่ลุ่มหลงหรือเจ้าเล่ห์ — ถ้าติดยาก็มีสติยั้งคิด อาจเลิกได้</t>
  </si>
  <si>
    <t>ราหู, พฤหัส, เปรียบเทียบ, สติ</t>
  </si>
  <si>
    <t>ดาว 0 อยู่ในภพกฎุมพะ + ดาวการเงินคุณภาพธรรมดา</t>
  </si>
  <si>
    <t>ทรัพย์สินแปรปรวน รักษาไว้ไม่ได้ ใช้เงินเก่ง หาไม่ทันใช้</t>
  </si>
  <si>
    <t>มฤตยู, กฎุมพะ, ใช้เงินเก่ง</t>
  </si>
  <si>
    <t>วันเสียชีวิต: ดาว 7 จรทับดาว 7 เดิม ตรีโกณถึงลัคนา + ดาว 5 จรทับดาว 5 เดิมในภพวินาศ + ดาว 6 จรทับดาว 7 เดิม (คู่ศัตรู) + ดาว 9 จรเล็งเสริม</t>
  </si>
  <si>
    <t>ดาวช่วยชีวิต (5) ทั้งเดิมและจรไม่ช่วยเลย — เสาร์จรทับเสาร์เดิมเพียงอย่างเดียวก็ถึงตายได้</t>
  </si>
  <si>
    <t>เสาร์, จร, ทับ, วินาศ, ถึงตาย, ดาว5ไม่ช่วย</t>
  </si>
  <si>
    <t>ดาว 7 จรทับดาว 7 เดิม + ดวงชาตาแข็งแกร่ง (แต่ดาว 5 ไม่ช่วย)</t>
  </si>
  <si>
    <t>ถ้าดวงชาตาเข้มแข็งมาก อาจไม่ตายแต่เสียหายทางธุรกิจหลายล้านบาทต่อเดือน</t>
  </si>
  <si>
    <t>เสาร์, จร, ทับ, ดวงเข้มแข็ง, เสียหายธุรกิจ</t>
  </si>
  <si>
    <t>chapter_49</t>
  </si>
  <si>
    <t>กรณีศึกษา 2108 — พุธไม่พูด, ราหูจรทับลัคนา ผูกคอตาย</t>
  </si>
  <si>
    <t>ตนุลัคน์ (ดาว 4) ลอยในภพวินาศ</t>
  </si>
  <si>
    <t>ไม่พูด ไม่บอกปัญหาให้ใครฟัง แม้แต่คนใกล้ชิด — เก็บทุกอย่างไว้คนเดียว</t>
  </si>
  <si>
    <t>พุธ, ตนุลัคน์, วินาศ, ไม่พูด, อันตราย</t>
  </si>
  <si>
    <t>ดาว 0 ร่วมราศีกับดาว 5 (สติยั้งคิด) + สัมพันธ์ดาว 3 นิจ + ดาว 9 เล็งทวีคูณ</t>
  </si>
  <si>
    <t>สติแปรปรวน จิตอ่อน ปัญหาสุขภาพและอุบัติเหตุ — ความเสี่ยงคิดสั้นสูงขึ้นมาก</t>
  </si>
  <si>
    <t>มฤตยู, พฤหัส, อังคาร, เกตุ, สติแปรปรวน, คิดสั้น</t>
  </si>
  <si>
    <t>ดาว 8 จรทับลัคนา + ดาว 4 (ตนุลัคน์) จรเป็นคู่ศัตรูกับดาว 8 + ดาว 0 จรเล็งลัคนา + ดาว 3 จรทับดาว 0 เดิม</t>
  </si>
  <si>
    <t>ดวงชาตาอ่อนแอชั่วคราว สติแตกหักชั่ววูบ ตัดสินใจคิดสั้น</t>
  </si>
  <si>
    <t>ราหู, พุธ, มฤตยู, อังคาร, จร, คิดสั้น</t>
  </si>
  <si>
    <t>ดาว 5 จร (อุจ) โยคหลังลัคนา ขณะดาวร้ายครบหลายชั้น</t>
  </si>
  <si>
    <t>ช่วยให้รอดชีวิตชั่วคราว แต่ไม่พอยับยั้งเมื่อดาวร้ายซ้ำหลายชั้น</t>
  </si>
  <si>
    <t>พฤหัส, จร, อุจ, ช่วยชีวิต, ขีดจำกัด</t>
  </si>
  <si>
    <t>ดวงชาตาเดิมเข้มแข็ง + รอดชีวิต แต่สมองเสียหาย → พิการ</t>
  </si>
  <si>
    <t>ดวงชาตาเดิมที่เข้มแข็งและรวย ขัดแย้งกับการรอดแล้วพิการ — โอกาสรอดแบบพิการจึงต่ำมาก ทำนายล่วงหน้าได้ว่าจะไม่รอด</t>
  </si>
  <si>
    <t>ดวงเข้มแข็ง, พิการ, ขัดแย้ง, พยากรณ์</t>
  </si>
  <si>
    <t>ตนุลัคน์ในภพวินาศ + มีปัญหาหนัก + ดาวจรร้ายหลายชั้น</t>
  </si>
  <si>
    <t>การไม่พูดไม่ปรึกษาใครเป็นปัจจัยเร่งวิกฤต — ถ้าพูดและรู้จังหวะชีวิต อาจรอดได้เพราะดาวร้ายผ่านไปในไม่กี่เดือน</t>
  </si>
  <si>
    <t>วินาศ, ไม่พูด, จังหวะชีวิต, ดาวจร</t>
  </si>
  <si>
    <t>chapter_50</t>
  </si>
  <si>
    <t>ดวงชาตาแบบไหนดีที่สุด — ดวงเข้มแข็งและพื้นเพของตน</t>
  </si>
  <si>
    <t>เลือกได้เพียงอย่างเดียวระหว่างดวงเข้มแข็ง / การเงินดี / คู่ดี / ฉลาดรอบรู้</t>
  </si>
  <si>
    <t>ดวงเข้มแข็งดีที่สุด — ครอบคลุมทุกด้าน แม้การเงินเสียก็ไม่อับจน ยังเอาตัวรอดได้</t>
  </si>
  <si>
    <t>ดวงเข้มแข็ง, เลือก, สำคัญที่สุด</t>
  </si>
  <si>
    <t>ดวงเข้มแข็ง (ดาวในภพตนุดี + ดาว 0 ไม่สัมพันธ์ลัคนา/ตนุลัคน์)</t>
  </si>
  <si>
    <t>ประสบความสำเร็จง่าย สุขภาพแข็งแรง แม้การเงินเสียก็ได้คู่ดีหรือโชคลาภช่วย ไม่อับจน</t>
  </si>
  <si>
    <t>ดวงเข้มแข็ง, สุขภาพ, ไม่อับจน</t>
  </si>
  <si>
    <t>ดวงชาตาไม่เข้มแข็ง แม้การเงินดีแค่ไหน</t>
  </si>
  <si>
    <t>มีอุปสรรคตลอด เจ็บป่วยง่าย ถูกหลอกง่าย มัวเมาถอนตัวไม่ขึ้น เงินมีก็แทบไม่มีประโยชน์</t>
  </si>
  <si>
    <t>ดวงอ่อน, อุปสรรค, เงินไม่ช่วย</t>
  </si>
  <si>
    <t>คน 2 คน เกิดเวลาเดียวกัน ลัคนาเดียวกัน แต่พื้นเพต่างกัน</t>
  </si>
  <si>
    <t>นิสัย ทักษะ ความสามารถเหมือนกันทุกประการ แต่ฐานะและโอกาสต่างกันมาก — ต้องเปรียบในระดับพื้นเพเดียวกันเท่านั้น</t>
  </si>
  <si>
    <t>พื้นเพ, เปรียบเทียบ, โอกาส, ฐานะ</t>
  </si>
  <si>
    <t>ดวงการเงินดีมาก + พื้นเพตระกูลดี</t>
  </si>
  <si>
    <t>ทวีคูณผลดี รวยมาก — ดวงดีอย่างเดียวโดยไม่มีพื้นเพ ก็รวยได้ในระดับตน แต่ไม่เท่ากัน</t>
  </si>
  <si>
    <t>การเงิน, พื้นเพ, ทวีคูณ</t>
  </si>
  <si>
    <t>ดวงชาตาดีมาก แต่พื้นเพยากจน</t>
  </si>
  <si>
    <t>ยังประสบความสำเร็จได้ แต่ในระดับที่ต่ำกว่าคนพื้นเพดี ไม่ควรแปลกใจที่ดวงดีแต่ได้แค่นี้</t>
  </si>
  <si>
    <t>ดวงดี, พื้นเพยากจน, ขีดจำกัด</t>
  </si>
  <si>
    <t>ดวงชาตาธรรมดาหรืออ่อน + พื้นเพตระกูลรวย</t>
  </si>
  <si>
    <t>ยังรวยหรือมีชื่อเสียงได้เพราะพื้นเพ — ไม่ควรแปลกใจที่ดวงไม่ดีแต่ดูรวย ต้องดูบั้นปลายสุดท้ายและอัตราการเจริญก้าวหน้า</t>
  </si>
  <si>
    <t>ดวงธรรมดา, พื้นเพรวย, บั้นปลาย</t>
  </si>
  <si>
    <t>chapter_51</t>
  </si>
  <si>
    <t>กรรมที่พ่อแม่ทำ ตกทอดถึงลูกหลาน</t>
  </si>
  <si>
    <t>พ่อแม่สร้างกรรมชั่ว ลูกหลานดูเหมือนรับกรรม</t>
  </si>
  <si>
    <t>ในทางโหราศาสตร์ ดวงชาตาของใครก็ของคนนั้น ไม่ตกทอดถึงกัน — อธิบายได้ด้วยพื้นเพของตนและการอบรมสั่งสอนเท่านั้น</t>
  </si>
  <si>
    <t>กรรม, พื้นเพ, ดวงชาตา, หลักการ</t>
  </si>
  <si>
    <t>ดวงชาตาเหมือนกันทุกประการ แต่พ่อแม่ต่างกัน</t>
  </si>
  <si>
    <t>อัตราการเจริญรุ่งเรืองต่างกัน เช่น คนหนึ่งรวย 100 ล้าน อีกคนรวย 10,000 ล้าน — ชีวิตเหมือนกัน แต่ระดับต่างกันตามพื้นเพ</t>
  </si>
  <si>
    <t>พื้นเพ, อัตราการเจริญ, ดวงเหมือนกัน</t>
  </si>
  <si>
    <t>chapter_52</t>
  </si>
  <si>
    <t>เกิดเป็นคนควรมีคู่</t>
  </si>
  <si>
    <t>ดาวการเงินดี แต่ดาวอื่นเสีย + ได้คู่ที่ดาวการเงินเสียแต่ทำงานเก่ง</t>
  </si>
  <si>
    <t>เติมเต็มกันได้ดีที่สุด — ฝ่ายการเงินดีบริหารเงิน ฝ่ายทำงานเก่งเป็นคนทำ ห้ามให้ฝ่ายใช้เงินเก่งถือทรัพย์</t>
  </si>
  <si>
    <t>คู่ครอง, เติมเต็ม, การเงิน, ทำงาน</t>
  </si>
  <si>
    <t>ดาวกุมและเล็งลัคนา เป็นคู่มิตร/คู่ธาตุ/คู่สมพลกัน</t>
  </si>
  <si>
    <t>ยิ่งสมควรมีคู่ครองหรือหุ้นส่วน — 1+1 มากกว่า 2 ทวีคูณขึ้น</t>
  </si>
  <si>
    <t>ลัคนา, คู่มิตร, คู่ธาตุ, คู่สมพล, หุ้นส่วน</t>
  </si>
  <si>
    <t>ดาวกุมและเล็งลัคนา เป็นดาวคู่ศัตรูกัน</t>
  </si>
  <si>
    <t>ไม่ควรร่วมหุ้นหรือมีคู่ครองในลักษณะพึ่งพา — จะขัดแย้งตลอด ควรทำงานอาศัยความสามารถเฉพาะตัว ถ้าจำเป็นต้องหุ้นให้ใช้ชื่อคนอื่น</t>
  </si>
  <si>
    <t>คู่ศัตรู, ลัคนา, หุ้นส่วน, หลีกเลี่ยง</t>
  </si>
  <si>
    <t>chapter_53</t>
  </si>
  <si>
    <t>ราหูดี โยคหลัง ภพลาภะ ก็เจ๊งหุ้นได้</t>
  </si>
  <si>
    <t>ดาว 8 ดีสัมพันธ์ลัคนา + ดาวจรให้โทษในช่วงนั้น</t>
  </si>
  <si>
    <t>ถูกโฉลกในเรื่องหุ้น แต่ไม่ใช่จะดีตลอด — จังหวะชีวิตดาวจรมีผลมาก อาจขาดทุนหนักได้ในช่วงดาวร้ายจร</t>
  </si>
  <si>
    <t>ราหู, หุ้น, จังหวะชีวิต, ดาวจร</t>
  </si>
  <si>
    <t>ดาว 8 จรทับลัคนา + ดาว 4 (คู่ศัตรู) กุมลัคนาเดิม</t>
  </si>
  <si>
    <t>ราหูจรให้โทษมากเป็นพิเศษ — คู่ศัตรูทำให้โทษทวีคูณ เสียหายหนัก</t>
  </si>
  <si>
    <t>ราหู, พุธ, จร, คู่ศัตรู, โทษทวีคูณ</t>
  </si>
  <si>
    <t>ดาว 8 เสีย สัมพันธ์หรือไม่สัมพันธ์ลัคนา</t>
  </si>
  <si>
    <t>ไม่ถูกโฉลกและยิ่งทำยิ่งเสื่อม — อย่าเล่นหุ้นหรือทำกิจการเกี่ยวกับราหู</t>
  </si>
  <si>
    <t>ราหู, เสีย, ไม่ถูกโฉลก, ห้ามทำ</t>
  </si>
  <si>
    <t>chapter_54</t>
  </si>
  <si>
    <t>เรื่องคู่ ดูให้ครบ ต้องดูทั้งสองคน</t>
  </si>
  <si>
    <t>ลัคนาทั้งสองฝ่ายราศีเดียวกัน</t>
  </si>
  <si>
    <t>ถูกโฉลกกันมากที่สุด นิสัยภายในเหมือนกัน — แต่ข้อเสียคือดาวจรให้โทษพร้อมกันทั้งคู่ อาจเกิดเหตุพร้อมกันไม่มีใครดูแลใคร</t>
  </si>
  <si>
    <t>คู่, ลัคนา, ราศีเดียวกัน, ข้อเสีย</t>
  </si>
  <si>
    <t>ลัคนาทั้งสองฝ่ายโยคหรือตรีโกณกัน</t>
  </si>
  <si>
    <t>ดีที่สุดในทางปฏิบัติ — ถูกโฉลกกัน เวลามีเคราะห์ไม่ตรงกัน ประคองกันได้ ไม่เสียหายพร้อมกัน</t>
  </si>
  <si>
    <t>คู่, ลัคนา, โยค, ตรีโกณ, ดีที่สุด</t>
  </si>
  <si>
    <t>ลัคนาทั้งสองฝ่ายไม่สัมพันธ์กัน + ดาวเป็นคู่ศัตรู</t>
  </si>
  <si>
    <t>อยู่ด้วยกันลำบาก ทะเลาะตลอด</t>
  </si>
  <si>
    <t>คู่, ลัคนา, ไม่สัมพันธ์, คู่ศัตรู, ทะเลาะ</t>
  </si>
  <si>
    <t>เจ้าเรือนกฎุมพะของฝ่ายใดฝ่ายหนึ่ง ลอยอยู่ในภพปัตนิ</t>
  </si>
  <si>
    <t>ฝ่ายนั้นไม่สนใจเรื่องเงิน ให้คู่ถือทรัพย์ทั้งหมด โดยไม่ถาม — เจอคู่ดีก็แล้วไป เจอคู่ผลาญก็หมดจริงๆ</t>
  </si>
  <si>
    <t>กฎุมพะ, ปัตนิ, ให้คู่ถือเงิน, เสี่ยง</t>
  </si>
  <si>
    <t>chapter_55</t>
  </si>
  <si>
    <t>ดาวคู่ครองตกภพมรณะ คู่ต้องตายหรือเปล่า?</t>
  </si>
  <si>
    <t>เจ้าเรือนภพปัตนิ ลอยอยู่ในภพมรณะ</t>
  </si>
  <si>
    <t>มีคู่ยาก — แปลได้ว่าคู่ตาย / หายจากไปโดยไม่มีเค้า / หรือมีคู่ยาก ไม่จำเป็นต้องตายทุกราย</t>
  </si>
  <si>
    <t>ปัตนิ, มรณะ, คู่ยาก, ตาย</t>
  </si>
  <si>
    <t>เจ้าเรือนปัตนิตกภพมรณะ — แนะนำการแก้ไข</t>
  </si>
  <si>
    <t>ควรอยู่ด้วยกันแต่ไม่จดทะเบียน หรืออยู่ห่างกันหน่อย / ในด้านหุ้นส่วนควรหุ้นกับบริษัทมั่นคงถาวรระดับประเทศ ลดความเสี่ยงหุ้นส่วนเลิกกลางคัน</t>
  </si>
  <si>
    <t>ปัตนิ, มรณะ, แก้ไข, หุ้นส่วน</t>
  </si>
  <si>
    <t>chapter_56</t>
  </si>
  <si>
    <t>ดาวเสียก็ยังให้คุณ</t>
  </si>
  <si>
    <t>ดาวเสีย (นิจ/ประเกษตร) สัมพันธ์ลัคนา</t>
  </si>
  <si>
    <t>ยังให้คุณไม่น้อย — ความหมายออกไปในทางความไม่พอดี (มากเกิน/น้อยเกิน) แต่ยังใช้ประโยชน์ได้ในด้านนั้น</t>
  </si>
  <si>
    <t>ดาวเสีย, ลัคนา, ยังให้คุณ, ไม่พอดี</t>
  </si>
  <si>
    <t>ดาวเสีย ไม่สัมพันธ์ลัคนา</t>
  </si>
  <si>
    <t>ไม่มีเลย — สูญสิ้นทักษะและอัจฉริยภาพในด้านนั้นโดยสิ้นเชิง</t>
  </si>
  <si>
    <t>ดาวเสีย, ไม่สัมพันธ์ลัคนา, สูญสิ้น</t>
  </si>
  <si>
    <t>ดาว 4 เสีย สัมพันธ์ลัคนา</t>
  </si>
  <si>
    <t>พูดมากเกินหรือน้อยเกิน ละเอียดจุกจิก หรือไม่ละเอียดเลย — แต่หลายคนเรียนสำเร็จ เป็นแพทย์ ทนาย นักเขียนได้</t>
  </si>
  <si>
    <t>พุธ, เสีย, ลัคนา, ยังให้คุณ</t>
  </si>
  <si>
    <t>ดาว 7 เสีย สัมพันธ์ลัคนา</t>
  </si>
  <si>
    <t>คิดมากฟุ้งซ่าน ย้ำคิดย้ำทำ วิตกจริต — ไม่ดีที่สัมพันธ์ลัคนา</t>
  </si>
  <si>
    <t>เสาร์, เสีย, ลัคนา, วิตกจริต, ไม่ดี</t>
  </si>
  <si>
    <t>งมงาย หลงเชื่อง่าย — แต่ถ้ามีดาว 5 หรือ 3 สัมพันธ์ลัคนาช่วย จะลดทอนได้บ้าง</t>
  </si>
  <si>
    <t>ราหู, เสีย, ลัคนา, งมงาย, ดาวช่วย</t>
  </si>
  <si>
    <t>ศิลปะแนวแปลกๆ เข้าใจยาก — ศิลปินชื่อดังระดับชาติ/โลกหลายคนมีดาวนี้ ยังให้คุณในแนวศิลปะที่ไม่ปกติ</t>
  </si>
  <si>
    <t>ศุกร์, เสีย, ลัคนา, ศิลปะแปลก, ยังให้คุณ</t>
  </si>
  <si>
    <t>ดาว 6 เสีย ไม่สัมพันธ์ลัคนา</t>
  </si>
  <si>
    <t>ไร้จินตนาการและทักษะศิลปะโดยสิ้นเชิง สร้างงานศิลป์ไม่ได้เลย</t>
  </si>
  <si>
    <t>ศุกร์, เสีย, ไม่สัมพันธ์ลัคนา, ไร้ศิลปะ</t>
  </si>
  <si>
    <t>chapter_57</t>
  </si>
  <si>
    <t>พฤหัส (5) อุจ บางทีดีเกินไป</t>
  </si>
  <si>
    <t>ดาว 5 (อุจ) สัมพันธ์ลัคนา + ดาว 8 ไม่สัมพันธ์ลัคนา + ดาว 8 จร (อุจ) ทับลัคนา</t>
  </si>
  <si>
    <t>มองโลกแง่ดีเกินไป หลงเชื่อง่าย อาจทำบุญหรือลงทุนจนหมดตัวในช่วงดาว 8 จรให้โทษ</t>
  </si>
  <si>
    <t>พฤหัส, อุจ, ราหู, จร, หลงดี, หมดตัว</t>
  </si>
  <si>
    <t>chapter_58</t>
  </si>
  <si>
    <t>พระสงฆ์ที่ดี ควรมีดาวอะไร</t>
  </si>
  <si>
    <t>ดาว 5 ดีสัมพันธ์ลัคนา + ดาว 6 ไม่แรงหรือเสีย + ดาว 8 ไม่แรง</t>
  </si>
  <si>
    <t>เป็นพระดีได้ — มีคุณธรรม สติ เมตตา กำหนัดต่ำ ไม่เจ้าเล่ห์ ไม่สะสมทรัพย์</t>
  </si>
  <si>
    <t>พระสงฆ์, พฤหัส, ศุกร์, ราหู, อาชีพ</t>
  </si>
  <si>
    <t>ดาว 6 ดีมาก + ดาว 3 หรือ 1 แรง สัมพันธ์ลัคนา — กรณีพระสงฆ์</t>
  </si>
  <si>
    <t>กำหนัดสูงมาก เจ้าชู้ — อยู่เป็นพระได้ไม่กี่พรรษา</t>
  </si>
  <si>
    <t>พระสงฆ์, ศุกร์, อังคาร, อาทิตย์, กำหนัด, สึก</t>
  </si>
  <si>
    <t>ดาว 8 เสีย — กรณีพระสงฆ์</t>
  </si>
  <si>
    <t>ไม่ทันคน แต่อาจออกแนวงมงาย ทำเครื่องรางของขลัง — ไม่ร้ายแรง มีคนชอบบ้าง</t>
  </si>
  <si>
    <t>พระสงฆ์, ราหู, เสีย, งมงาย, เครื่องราง</t>
  </si>
  <si>
    <t>ดาวการเงินดีมาก หรือเจ้าเรือนกฎุมพะอยู่ภพดี — กรณีพระสงฆ์</t>
  </si>
  <si>
    <t>มีแนวโน้มสะสมทรัพย์ — ไม่เหมาะเป็นพระดี</t>
  </si>
  <si>
    <t>พระสงฆ์, การเงิน, สะสมทรัพย์, ไม่เหมาะ</t>
  </si>
  <si>
    <t>chapter_59</t>
  </si>
  <si>
    <t>ดาวการเงินเสีย จะต้องยากจนหรือไม่</t>
  </si>
  <si>
    <t>เจ้าเรือนกฎุมพะเสีย หรือตกภพอริ/มรณะ/วินาศ หรือมีดาว 0 ในภพกฎุมพะ</t>
  </si>
  <si>
    <t>ไม่ได้แปลว่าจน — แต่รักษาทรัพย์ไว้ไม่ได้ ใช้เงินเก่ง มีเท่าไรก็หมด</t>
  </si>
  <si>
    <t>การเงิน, เสีย, ไม่จน, รักษาทรัพย์ไม่ได้</t>
  </si>
  <si>
    <t>ดาวการเงินเสีย + ดวงชาตาเข้มแข็ง</t>
  </si>
  <si>
    <t>ได้คู่ดีหรือมีโชคลาภช่วย ไม่อับจน แต่ถ้าดวงไม่เข้มแข็งก็จนจริงๆได้</t>
  </si>
  <si>
    <t>การเงิน, เสีย, ดวงเข้มแข็ง, คู่ดี</t>
  </si>
  <si>
    <t>ดาวการเงินเสีย — คำแนะนำ</t>
  </si>
  <si>
    <t>ห้ามเก็บทรัพย์สินเองเด็ดขาด — ให้ใส่ชื่อคู่ครอง/บุตรหลาน หรือซื้ออสังหาริมทรัพย์เพื่อให้เปลี่ยนเป็นเงินสดได้ยากขึ้น</t>
  </si>
  <si>
    <t>การเงิน, เสีย, แนะนำ, อสังหาริมทรัพย์</t>
  </si>
  <si>
    <t>ดาวการเงินดีมาก (อุจ/มหาจักร/เกษตร) แม้เจ้าเรือนตกภพอริ/มรณะ/วินาศ</t>
  </si>
  <si>
    <t>ไม่จนไม่หมดสิ้น — มีเหมือนตาน้ำใหญ่ หมดก็มีมาอีก แต่ฐานะไม่มั่นคงเท่าที่ควร</t>
  </si>
  <si>
    <t>การเงิน, ดีมาก, ภพเสีย, ตาน้ำ, ไม่จน</t>
  </si>
  <si>
    <t>chapter_60</t>
  </si>
  <si>
    <t>ดาวการเงินดี มีชัยไปกว่าครึ่ง</t>
  </si>
  <si>
    <t>ดาวในภพกฎุมพะ (เจ้าเรือนหรือดาวลอย) คุณภาพดี (อุจ/มหาจักร/เกษตร)</t>
  </si>
  <si>
    <t>ยังไม่เคยเห็นใครยากจนขัดสน — แม้ทำงานไม่ถูกโฉลก ก็ยังประคองตัวได้ ล้มแล้วลุกได้</t>
  </si>
  <si>
    <t>การเงิน, ดี, ไม่จน, ล้มแล้วลุก</t>
  </si>
  <si>
    <t>ดาวการเงินดี + ทำอาชีพถูกโฉลก ไม่เสี่ยงมาก</t>
  </si>
  <si>
    <t>ยังไม่เคยเห็นใครลำบาก — เติบโตมั่นคง</t>
  </si>
  <si>
    <t>การเงิน, ดี, ถูกโฉลก, มั่นคง</t>
  </si>
  <si>
    <t>ดาวการเงินดี + ทำงานกินเงินเดือนอย่างเดียว</t>
  </si>
  <si>
    <t>ไม่รวยแต่ไม่ลำบาก — แนะนำให้มีอาชีพเสริมจะทวีคูณ</t>
  </si>
  <si>
    <t>การเงิน, ดี, เงินเดือน, อาชีพเสริม</t>
  </si>
  <si>
    <t>ดาวการเงินเสีย + ได้คู่/หุ้นส่วนดีที่การเงินแข็งแกร่ง</t>
  </si>
  <si>
    <t>อาจร่ำรวยได้ แต่ห้ามให้ถือทรัพย์เอง — ถ้าถือเองจะเสื่อมเสียจริง</t>
  </si>
  <si>
    <t>การเงิน, เสีย, คู่ดี, ห้ามถือทรัพย์เอง</t>
  </si>
  <si>
    <t>chapter_61</t>
  </si>
  <si>
    <t>ดาวการเงินเป็นราชาโชค ดีจริงๆ</t>
  </si>
  <si>
    <t>ดาวในภพกฎุมพะคุณภาพเป็นราชาโชค หรือเทวีโชค</t>
  </si>
  <si>
    <t>ได้ทรัพย์มาอย่างง่ายๆสบายๆ ไม่ต้องลงทุนลงแรงมาก — ไม่เคยขาดมือ บางทีถึงกับใช้ให้หมดเพื่อให้ได้มาใหม่</t>
  </si>
  <si>
    <t>ราชาโชค, เทวีโชค, การเงิน, ได้มาง่าย</t>
  </si>
  <si>
    <t>ราศีตรงข้ามราชาโชค (ยาจกโชค) — ข้อโต้แย้ง</t>
  </si>
  <si>
    <t>ไม่เป็นความจริงที่ตรงข้ามราชาโชคต้องยากจนสาหัส — ต้องใช้ข้อมูลสถิติ ไม่ใช่ตีความแบบกฎหมาย</t>
  </si>
  <si>
    <t>ราชาโชค, ตรงข้าม, ข้อโต้แย้ง, สถิติ</t>
  </si>
  <si>
    <t>chapter_62</t>
  </si>
  <si>
    <t>ดาวการเงินเป็นมหาจักร ยิ่งผาดโผน</t>
  </si>
  <si>
    <t>ดาวเรือนนอกหรือเรือนในภพกฎุมพะ คุณภาพมหาจักร</t>
  </si>
  <si>
    <t>ได้ทรัพย์มาแบบแปลกๆ ไม่คาดหมาย เป็นก้อนใหญ่ — ไม่มาก็ไม่มีเลย แต่เมื่อมาก็มาเป็นกอบเป็นกำ</t>
  </si>
  <si>
    <t>มหาจักร, การเงิน, ผาดโผน, ก้อนใหญ่</t>
  </si>
  <si>
    <t>ดาวการเงินมหาจักร — คำแนะนำ</t>
  </si>
  <si>
    <t>ลงทุนระยะยาวแบบปักเบ็ดหลายคัน เช่น หุ้น หวย พระเครื่อง ที่ดิน — ใช้ดาวดีที่ถูกโฉลกประกอบเลือกประเภทการลงทุน</t>
  </si>
  <si>
    <t>มหาจักร, การเงิน, ลงทุน, แนะนำ</t>
  </si>
  <si>
    <t>ดาวการเงินเป็นจุลจักร (ราศีตรงข้ามมหาจักร)</t>
  </si>
  <si>
    <t>ให้คุณในลักษณะเดียวกับมหาจักร แต่ลดน้อยลงมาก — ไม่ได้แปลว่าจนลำบาก</t>
  </si>
  <si>
    <t>จุลจักร, การเงิน, น้อยกว่ามหาจักร</t>
  </si>
  <si>
    <t>chapter_63</t>
  </si>
  <si>
    <t>ดาวการเงินเป็นอุจ ดีที่ 1</t>
  </si>
  <si>
    <t>ดาวในภพกฎุมพะคุณภาพอุจ</t>
  </si>
  <si>
    <t>ไม่ยากจน ล้มแล้วลุกได้ตลอด — เหมือนตาน้ำใหญ่ให้น้ำสม่ำเสมอ แม้มีดาว 0 ในภพการเงินก็ยังมีมาใหม่เรื่อยๆ</t>
  </si>
  <si>
    <t>อุจ, การเงิน, ล้มแล้วลุก, ตาน้ำ</t>
  </si>
  <si>
    <t>ดาวการเงินอุจจาวิลาส หรืออุจจาภิมุข</t>
  </si>
  <si>
    <t>ให้คุณเช่นเดียวกับอุจ แต่ประมาณ 60% ของอุจ</t>
  </si>
  <si>
    <t>อุจจาวิลาส, อุจจาภิมุข, การเงิน, 60เปอร์เซ็นต์</t>
  </si>
  <si>
    <t>ดาวการเงินดีมาก (อุจ) + ทำงานกินเงินเดือนอย่างเดียว</t>
  </si>
  <si>
    <t>น่าเสียดาย — แนะนำให้มีอาชีพเสริมหรือลาออกมาทำเองเลย ไม่จนแน่</t>
  </si>
  <si>
    <t>อุจ, การเงิน, เงินเดือน, อาชีพเสริม</t>
  </si>
  <si>
    <t>chapter_64</t>
  </si>
  <si>
    <t>เกษตรกุมลัคนา น่าจะหยิ่ง และพุธกุมลัคนาช่างพูด</t>
  </si>
  <si>
    <t>ดาวใดก็ตามเป็นเกษตรกุมลัคนา</t>
  </si>
  <si>
    <t>ตนุเศษจะเป็นดาว 1 (อาทิตย์) เสมอ — เป็นคนรักหน้า หยิ่งในศักดิ์ศรีทุกราย (ตามสูตร 1×1÷7 เศษ 1)</t>
  </si>
  <si>
    <t>เกษตร, ลัคนา, ตนุเศษ, อาทิตย์, หยิ่ง</t>
  </si>
  <si>
    <t>ดาว 4 (พุธ) ดี กุมลัคนา + ดาว 6 (ศุกร์) ดีร่วมราศีหรือสัมพันธ์กัน</t>
  </si>
  <si>
    <t>มีศิลปะในการพูดและเขียนสูงมาก — ถูกโฉลกในอาชีพนักพูด นักเขียน นักร้อง นายหน้า จิตรกร</t>
  </si>
  <si>
    <t>พุธ, ศุกร์, ลัคนา, ศิลปะพูด, ถูกโฉลก</t>
  </si>
  <si>
    <t>ดาว 4 เสีย กุมหรือสัมพันธ์ลัคนา</t>
  </si>
  <si>
    <t>ยังช่างพูดแต่ไม่ถูกโฉลก — พูดละเอียดเกินเหตุ เพ้อเจ้อ ไม่ถูกจังหวะ คนฟังไม่ชอบ</t>
  </si>
  <si>
    <t>พุธ, เสีย, ลัคนา, ช่างพูด, ไม่ถูกโฉลก</t>
  </si>
  <si>
    <t>ดาว 4 กุมลัคนา แต่เจ้าชาตาพูดน้อยลงด้วยประสบการณ์หรืออาชีพ</t>
  </si>
  <si>
    <t>ลัคนายังถูก — การพูดน้อยเป็นเรื่องพื้นเพและสถานการณ์ ไม่ใช่ดวงชาตาผิด ต้องสอบถามเพิ่มเติม</t>
  </si>
  <si>
    <t>พุธ, ลัคนา, พูดน้อย, สอบลัคนา, พื้นเพ</t>
  </si>
  <si>
    <t>chapter_65</t>
  </si>
  <si>
    <t>พุธไม่สัมพันธ์ลัคนา ก็ไม่พูด</t>
  </si>
  <si>
    <t>ดาว 4 ไม่สัมพันธ์ลัคนา ไม่ว่าคุณภาพใด</t>
  </si>
  <si>
    <t>ไม่ช่างพูดโดยธรรมชาติ — แม้เป็นตนุลัคน์ แม้คุณภาพดีมาก ก็ยังพูดน้อยมาก ถ้าจำเป็นต้องพูดและดาวดีก็พูดได้ดี แต่พอวางไมโครโฟนก็หยุดทันที</t>
  </si>
  <si>
    <t>พุธ, ไม่สัมพันธ์ลัคนา, ไม่ช่างพูด, หลักการ</t>
  </si>
  <si>
    <t>ดาว 4 ในภพมรณะ ไม่สัมพันธ์ลัคนา</t>
  </si>
  <si>
    <t>พูดไม่ถูกจังหวะ ไม่ถูกกาละ จับต้นชนปลายไม่ถูก สื่อสารยาก — เรียกว่า 'พุธมรณะ'</t>
  </si>
  <si>
    <t>พุธ, มรณะ, ไม่สัมพันธ์ลัคนา, พูดไม่ถูกจังหวะ</t>
  </si>
  <si>
    <t>ดาว 4 เป็นตนุเศษ แต่ไม่สัมพันธ์ลัคนา</t>
  </si>
  <si>
    <t>ยังไม่ช่างพูด แต่ออกทางความละเอียด ชอบข้อมูล ข้อเท็จจริง — การพูดเป็นลักษณะภายนอก (แสดงออก) ไม่ใช่ภายใน (ความคิด)</t>
  </si>
  <si>
    <t>พุธ, ตนุเศษ, ไม่สัมพันธ์ลัคนา, ละเอียด</t>
  </si>
  <si>
    <t>เกณฑ์วัดการช่างพูด</t>
  </si>
  <si>
    <t>พูดก่อนโดยไม่ต้องถาม = ช่างพูด / ถาม1ตอบ2-3 = ช่างพูด / ถาม1ตอบ1 = ปกติ / ถาม2-3ตอบ1 = ไม่ค่อยพูด</t>
  </si>
  <si>
    <t>พุธ, เกณฑ์, ช่างพูด, วัดผล</t>
  </si>
  <si>
    <t>chapter_66</t>
  </si>
  <si>
    <t>เสาร์จรเล็งราหูเดิม ให้คุณจริงๆ</t>
  </si>
  <si>
    <t>ดาว 7 จรเล็งดาว 8 เดิม + สัมพันธ์ถึงลัคนา</t>
  </si>
  <si>
    <t>ให้คุณมาก มีโชคแปลกๆ ไม่คาดฝัน — เป็นกรณีเดียวที่ดาว 7 จรให้คุณแทนโทษ เพราะดาว 7 และ 8 เป็นคู่มิตรใหญ่</t>
  </si>
  <si>
    <t>เสาร์, จร, ราหู, คู่มิตร, ให้คุณ, โชค</t>
  </si>
  <si>
    <t>chapter_67</t>
  </si>
  <si>
    <t>คู่ครองแบบไหนดีที่สุด</t>
  </si>
  <si>
    <t>ดาวลอยในภพปัตนิ คุณภาพเกษตร + เป็นคู่มิตร/คู่ธาตุ/คู่สมพลกับดาวในภพตนุ</t>
  </si>
  <si>
    <t>คู่ดีที่สุด มั่นคงถาวร ยิ่งนานยิ่งมั่นคง ถูกโฉลกกันมาก</t>
  </si>
  <si>
    <t>ปัตนิ, เกษตร, คู่มิตร, คู่ดีที่สุด</t>
  </si>
  <si>
    <t>ดาวลอยในภพปัตนิ เป็นคู่ศัตรูกับดาวในภพตนุ</t>
  </si>
  <si>
    <t>ทะเลาะกันตลอดชีวิต</t>
  </si>
  <si>
    <t>ปัตนิ, คู่ศัตรู, ทะเลาะ</t>
  </si>
  <si>
    <t>เจ้าเรือนปัตนิ ลอยอยู่ในภพกฎุมพะ</t>
  </si>
  <si>
    <t>คู่มาเป็นทรัพย์ หาเงินให้ หรือมีคู่ง่าย มีคู่มาก — ที่เห็นถูกต้องทั้งสองความหมายพอๆกัน</t>
  </si>
  <si>
    <t>ปัตนิ, กฎุมพะ, คู่เป็นทรัพย์</t>
  </si>
  <si>
    <t>เจ้าเรือนปัตนิ เป็นประเกษตรกุมลัคนา (มาที่ภพตนุ)</t>
  </si>
  <si>
    <t>คู่มาเป็นภาระให้ต้องดูแล — ไม่ได้แปลว่าได้คู่ด้อยกว่าในด้านยศศักดิ์หรือฐานะ</t>
  </si>
  <si>
    <t>chapter_68</t>
  </si>
  <si>
    <t>ราหูเดิม + ราหูจรให้โทษ พฤหัสจรช่วยไม่ไหว</t>
  </si>
  <si>
    <t>ดาว 8 จรทับลัคนา + ดาว 8 เดิมดีสัมพันธ์ลัคนา + ดาว 4 จร (คู่ศัตรู 8) + ดาว 0 จรเล็งลัคนา</t>
  </si>
  <si>
    <t>โทษหนักหลายชั้น — แม้ดาว 5 จรดีช่วย และดวงชาตาเข้มแข็ง ก็ยังไม่พ้นโทษได้</t>
  </si>
  <si>
    <t>ราหู, จร, พุธ, มฤตยู, โทษหลายชั้น, พฤหัสช่วยไม่ไหว</t>
  </si>
  <si>
    <t>ดาว 5 จรดีสัมพันธ์ลัคนา + ดาวร้ายจรหลายชั้นพร้อมกัน</t>
  </si>
  <si>
    <t>ดาว 5 จรอาจช่วยบรรเทาหรือทำให้ผลร้ายออกมาเบากว่าที่ควร แต่ไม่อาจยับยั้งได้เมื่อดาวร้ายครบมาก</t>
  </si>
  <si>
    <t>พฤหัส, จร, ดาวร้าย, ขีดจำกัด</t>
  </si>
  <si>
    <t>วันอ่านคำตัดสิน ตรงกับดาวจรดี — แต่การตัดสินใจเกิดก่อนหน้า</t>
  </si>
  <si>
    <t>ดาวจรดีในวันอ่านคำตัดสิน ไม่ได้แปลว่าผลดี — การตัดสินใจอาจสิ้นสุดไปก่อนแล้ว เพียงแต่วันอ่านบังเอิญตรง</t>
  </si>
  <si>
    <t>ดาวจร, คำตัดสิน, ข้อสังเกต</t>
  </si>
  <si>
    <t>chapter_69</t>
  </si>
  <si>
    <t>หยิ่งแบบโง่ๆ ก็ยังให้คุณ</t>
  </si>
  <si>
    <t>หยิ่งในสิ่งที่คนอื่นไม่เข้าใจ (หยิ่งโง่ๆ) — แต่ยังให้คุณสำคัญคือลดทอนความโกงและลุ่มหลงของดาว 8 ได้มาก เพราะกลัวเสียหน้า</t>
  </si>
  <si>
    <t>อาทิตย์, เสีย, ลัคนา, หยิ่งโง่, ทัดทานราหู</t>
  </si>
  <si>
    <t>ดาว 1 + ดาว 3 สัมพันธ์ลัคนา (ร่วมกับดาว 8 แรง)</t>
  </si>
  <si>
    <t>ลดทอนความโกงและลุ่มหลงของดาว 8 ได้มากกว่าดาว 5 เพียงดวงเดียว — รักหน้า+แข็งตรงไปตรงมา ทำให้ไม่กล้าโกงและอายที่จะโกง</t>
  </si>
  <si>
    <t>อาทิตย์, อังคาร, ราหู, ลัคนา, ทัดทาน, ดีกว่าพฤหัสเดี่ยว</t>
  </si>
  <si>
    <t>chapter_70</t>
  </si>
  <si>
    <t>ดวงชาตา แก้ไขได้หรือไม่</t>
  </si>
  <si>
    <t>ช่วงดาวจรให้โทษ (เคราะห์ร้าย)</t>
  </si>
  <si>
    <t>หลบเลี่ยง ระมัดระวัง — ทำให้หนักกลายเป็นเบาได้ แต่ดวงชาตาเกิดมาแล้วแก้ไขไม่ได้ ทำได้แค่เพิ่มลด</t>
  </si>
  <si>
    <t>ดาวจร, เคราะห์ร้าย, หลบเลี่ยง, เพิ่มลด</t>
  </si>
  <si>
    <t>ช่วงดาวจรดี (โชคลาภเล็กๆ)</t>
  </si>
  <si>
    <t>ทำงานเพิ่ม ขยันเพิ่ม ลงทุนเพิ่ม — โชคเล็กกลายเป็นโชคใหญ่ได้</t>
  </si>
  <si>
    <t>ดาวจร, โชคลาภ, ขยายผล, จังหวะชีวิต</t>
  </si>
  <si>
    <t>การสะเดาะเคราะห์ ทำบุญ เพื่อแก้ดวง</t>
  </si>
  <si>
    <t>ช่วยให้จิตใจสบายคลายกังวลเท่านั้น — ไม่มีผลโดยตรงกับดวงชาตาในแนวเหตุผล (คนละประเด็นกับแนวศาสนา/ความเชื่อ)</t>
  </si>
  <si>
    <t>สะเดาะเคราะห์, ทำบุญ, จิตใจ, ไม่มีผลดวง</t>
  </si>
  <si>
    <t>chapter_71</t>
  </si>
  <si>
    <t>ตนุลัคน์ช่วยดวงดีขึ้นได้ไหม</t>
  </si>
  <si>
    <t>ตนุลัคน์ไปร่วมราศีกับดาวอื่น</t>
  </si>
  <si>
    <t>มีคุณสมบัติตามดาวนั้นเพิ่มขึ้น — แต่ไม่หักลบกัน เพียงลดทอนบดบังได้บางครั้ง อาจผลัดกันแสดงออกตามจังหวะชีวิต</t>
  </si>
  <si>
    <t>ตนุลัคน์, ร่วมราศี, คุณสมบัติ, ไม่หักลบ</t>
  </si>
  <si>
    <t>ตนุลัคน์ (5) ร่วมราศีกับดาว 8 แรง</t>
  </si>
  <si>
    <t>เป็นทั้งคนดีมีคุณธรรม (5) และเจ้าเล่ห์/ลุ่มหลง (8) ในคนเดียวกัน — คนคนเดียวเป็นได้ทั้งพระและโจร</t>
  </si>
  <si>
    <t>ตนุลัคน์, พฤหัส, ราหู, พระและโจร</t>
  </si>
  <si>
    <t>ตนุลัคน์ไปลอยอยู่ภพใดภพหนึ่ง</t>
  </si>
  <si>
    <t>บอกนิสัยตัวตนภายในและเรื่องที่ให้ความสำคัญในชีวิต — แต่ตัดสินว่าดวงดีขึ้นหรือไม่ไม่ได้ เป็นแค่ส่วนเสริม</t>
  </si>
  <si>
    <t>ตนุลัคน์, นิสัยภายใน, ความสำคัญ, ข้อจำกัด</t>
  </si>
  <si>
    <t>chapter_72</t>
  </si>
  <si>
    <t>ดาวสัมพันธ์ลัคนา vs ดาวสัมพันธ์ตนุลัคน์ อันไหนสำคัญกว่า</t>
  </si>
  <si>
    <t>ดาวสัมพันธ์ลัคนา</t>
  </si>
  <si>
    <t>ชัดเจนและสำคัญกว่า — ครอบคลุมเจ้าชาตาโดยรวมทั้งหมด รวมถึงปัจจัยภายนอก (ผู้ใหญ่เมตตา อาชีพถูกโฉลก)</t>
  </si>
  <si>
    <t>ลัคนา, สัมพันธ์, สำคัญกว่า, ปัจจัยภายนอก</t>
  </si>
  <si>
    <t>ดาวสัมพันธ์ตนุลัคน์ (แต่ไม่สัมพันธ์ลัคนา)</t>
  </si>
  <si>
    <t>ส่งผลเฉพาะตัวตนของเจ้าชาตาเท่านั้น ความสำคัญน้อยกว่า — ถ้าเป็นเพียงดาวลอยสัมพันธ์กัน (ไม่ร่วมราศี) ยิ่งมีผลน้อยลงอีก</t>
  </si>
  <si>
    <t>ตนุลัคน์, สัมพันธ์, สำคัญน้อยกว่า, ตัวตน</t>
  </si>
  <si>
    <t>ดาว 0 สัมพันธ์ลัคนา — เปรียบกับสัมพันธ์ตนุลัคน์</t>
  </si>
  <si>
    <t>สัมพันธ์ลัคนา = ทำให้วิถีชีวิตแปรปรวนทั้งหมด (ทุกดาวในภพตนุรวม) / สัมพันธ์ตนุลัคน์ = แปรปรวนแค่ตัวตนดาวนั้น — ลัคนากว้างกว่ามาก</t>
  </si>
  <si>
    <t>มฤตยู, ลัคนา, ตนุลัคน์, เปรียบเทียบ, กว้างกว่า</t>
  </si>
  <si>
    <t>chapter_73</t>
  </si>
  <si>
    <t>มาตรฐานดาวจร</t>
  </si>
  <si>
    <t>ดาวจรเข้าราศีใด</t>
  </si>
  <si>
    <t>คุณภาพตามราศีนั้น เหมือนพื้นดวงทุกประการ — แต่ใช้แค่ 'มีกำลังมากน้อย' ไม่ต้องใส่ความหมายคุณภาพ เช่น ไม่ต้องบอกว่า 'ให้คุณต่อเนื่องยาวนาน' หรือ 'ผาดโผน' เพราะเป็นช่วงสั้น</t>
  </si>
  <si>
    <t>ดาวจร, คุณภาพ, มาตรฐาน, กำลัง</t>
  </si>
  <si>
    <t>ดาวจรคุณภาพอุจหรือมหาจักร</t>
  </si>
  <si>
    <t>มีกำลังมากที่สุด — แต่ไม่ต้องตีความว่าให้คุณต่อเนื่องหรือผาดโผน เพราะเป็นดาวจรช่วงสั้น</t>
  </si>
  <si>
    <t>ดาวจร, อุจ, มหาจักร, กำลังมาก, ไม่ใส่ความหมายคุณภาพ</t>
  </si>
  <si>
    <t>chapter_74</t>
  </si>
  <si>
    <t>เสาร์จรทับราหูเดิม มีเกณฑ์โชคดีไหม</t>
  </si>
  <si>
    <t>ดาว 7 จรทับดาว 8 เดิม สัมพันธ์ลัคนา</t>
  </si>
  <si>
    <t>ให้คุณชัดเจน ราบรื่นดีในเรื่องงานหนักงานเบา อาจมีโชคลาภ</t>
  </si>
  <si>
    <t>เสาร์, จร, ราหู, ลัคนา, โชคลาภ</t>
  </si>
  <si>
    <t>ดาว 7 จรทับดาว 8 เดิม ไม่สัมพันธ์ลัคนา</t>
  </si>
  <si>
    <t>ดีแค่ในความหมายของภพนั้น ไม่ถึงตัวเจ้าชาตา — ไม่มีผลเสีย แต่อาจให้คุณไม่ถึงตัวเอง</t>
  </si>
  <si>
    <t>เสาร์, จร, ราหู, ไม่สัมพันธ์ลัคนา, ไม่ถึงตัว</t>
  </si>
  <si>
    <t>ดาว 5 จรสัมพันธ์ลัคนา</t>
  </si>
  <si>
    <t>ให้คุณดี ผู้ใหญ่เมตตา สิ่งศักดิ์สิทธิ์คุ้มครอง อะไรๆราบรื่น — ใช้ได้เสมอแม้ไม่ครบเกณฑ์โชคใหญ่</t>
  </si>
  <si>
    <t>พฤหัส, จร, ลัคนา, ราบรื่น, ผู้ใหญ่เมตตา</t>
  </si>
  <si>
    <t>ดาว 7 จรทับดาว 6 (คู่ศัตรู) ที่เป็นเจ้าเรือนปัตนิ ในภพวินาศ</t>
  </si>
  <si>
    <t>คู่อาจต้องจาก — น่าจะจากเป็น (ไม่ใช่จากตาย เพราะไม่ใช่ภพมรณะ)</t>
  </si>
  <si>
    <t>เสาร์, จร, ศุกร์, คู่ศัตรู, ปัตนิ, วินาศ, จากกัน</t>
  </si>
  <si>
    <t>โชคใหญ่กรณีมาตรฐาน: ดาว 7 ทับดาว 8 + ดาว 3 เล็งดาว 6 + ดาว 1 ทับดาว 5 ครบ 3 คู่</t>
  </si>
  <si>
    <t>อาจมีโชคใหญ่จริง ต้องครบ 3 คู่จึงนับ — ไม่จำเป็นต้องสัมพันธ์ลัคนาก็ได้ แต่ถ้าสัมพันธ์ลัคนายิ่งชัด</t>
  </si>
  <si>
    <t>โชคใหญ่, 3คู่, เสาร์, อังคาร, อาทิตย์</t>
  </si>
  <si>
    <t>chapter_75</t>
  </si>
  <si>
    <t>ดาว 1 ปกติ ตกภพมรณะ ตีความอย่างไร</t>
  </si>
  <si>
    <t>ดาวใดก็ตาม คุณภาพปกติ ตกภพมรณะ</t>
  </si>
  <si>
    <t>ถือว่าปกติ ไม่สัมพันธ์ลัคนา — ไม่ต้องนับว่าเสีย ภพมรณะทำให้ไม่แสดงออกและสูญสิ้นไปบ้าง แต่ยังมีอยู่ภายใน</t>
  </si>
  <si>
    <t>ปกติ, มรณะ, ไม่สัมพันธ์ลัคนา, ไม่แสดงออก</t>
  </si>
  <si>
    <t>ดาว 1 ปกติ ตกภพมรณะ</t>
  </si>
  <si>
    <t>รักศักดิ์ศรีแบบมนุษย์ทั่วไป แต่ปกติไม่หยิ่งไม่แสดงออก — ไม่ต้องเน้นในการพยากรณ์</t>
  </si>
  <si>
    <t>อาทิตย์, ปกติ, มรณะ, ไม่แสดงออก, ไม่เน้น</t>
  </si>
  <si>
    <t>ดาว 1 เสีย + ตกภพมรณะ</t>
  </si>
  <si>
    <t>อาจทำเรื่องขายหน้าโดยไม่อาย ไม่หยิ่งและไม่รักหน้าเลย — ซึ่งบางทีก็ไม่ดี เพราะขาดตัวทัดทานดาว 8</t>
  </si>
  <si>
    <t>อาทิตย์, เสีย, มรณะ, ขายหน้า, อันตราย</t>
  </si>
  <si>
    <t>chapter_76</t>
  </si>
  <si>
    <t>ดาวเสาร์จรเข้าภพปัตนิ มีดาวศุกร์รอ แต่ยังไม่มีโทษ</t>
  </si>
  <si>
    <t>ดาวเสาร์จรเข้าภพปัตนิ และมีดาวในภพนั้นรอ แต่เจ้าชาตายังไม่มีคู่</t>
  </si>
  <si>
    <t>ไม่บังเกิดผลกับคู่ เพราะปัตนิคือคู่หรือหุ้นส่วน ถ้ายังไม่มีก็ไม่รู้จะให้โทษกับอะไร</t>
  </si>
  <si>
    <t>ดาวจร, เสาร์, ปัตนิ, ยังไม่มีคู่</t>
  </si>
  <si>
    <t>ดาวเสาร์จรเข้าภพปัตนิ แม้ยังไม่มีคู่</t>
  </si>
  <si>
    <t>ดาว ๗ ยังให้โทษถึงตัวเอง 80% ต้องดูดาวรับว่ามีอะไรช่วยเบาหรือเร่งให้หนักด้วย ทั้งดาวกุม โยค ตรีโกณ</t>
  </si>
  <si>
    <t>ดาวจร, เสาร์, โทษตัวเอง, ดาวรับ</t>
  </si>
  <si>
    <t>บุคคลที่ไวต่อดาวเสาร์มาก</t>
  </si>
  <si>
    <t>เข้าวันไหนอึดอัดทันที ออกวันไหนโล่งทันที — ต้องเก็บสถิติรายบุคคล แต่ละคนไวกับดาวไม่เท่ากัน</t>
  </si>
  <si>
    <t>ดาวจร, เสาร์, ความไวต่อดาว, สถิติ</t>
  </si>
  <si>
    <t>ดาวจรทับตนุลัคน์ หรือทับลัคนา</t>
  </si>
  <si>
    <t>ร้ายพอกัน แต่ต่างกันในรายละเอียด</t>
  </si>
  <si>
    <t>ดาวจร, ทับตนุลัคน์, ทับลัคนา</t>
  </si>
  <si>
    <t>chapter_77</t>
  </si>
  <si>
    <t>ตำแหน่งพฤหัสกับคุณธรรมในใจ</t>
  </si>
  <si>
    <t>ดาว ๕ ดี แต่ไม่สัมพันธ์ลัคนา เทียบกับ ดาว ๕ กลางๆ แต่สัมพันธ์ลัคนา</t>
  </si>
  <si>
    <t>ดาว ๕ ดีไม่สัมพันธ์ลัคนา มีคุณธรรมในใจมากกว่า แต่ขาดสติยั้งคิด ลืมตัวทำชั่วได้ง่ายกว่า</t>
  </si>
  <si>
    <t>พฤหัส, คุณธรรม, สัมพันธ์ลัคนา, สติยั้งคิด</t>
  </si>
  <si>
    <t>ดาว ๕ สัมพันธ์ลัคนา</t>
  </si>
  <si>
    <t>มีสติยั้งคิดตลอดเวลา ต่อเนื่องกว่า โอกาสขาดสติทำชั่วจึงน้อยกว่า</t>
  </si>
  <si>
    <t>พฤหัส, สัมพันธ์ลัคนา, สติยั้งคิด</t>
  </si>
  <si>
    <t>ดาว ๕ เป็นอุจ แต่ตกภพมรณะ</t>
  </si>
  <si>
    <t>ปกติเป็นคนธรรมะธรรมโมมาก แต่อาจเผลอเข้าวงการผิดแล้วออกไม่ได้ เสี่ยงถูกจับติดคุก</t>
  </si>
  <si>
    <t>พฤหัส, มหาอุจ, มรณะ, ขาดสติ</t>
  </si>
  <si>
    <t>chapter_78</t>
  </si>
  <si>
    <t>คนดวงสมพงศ์กัน ต้องดูอะไรบ้าง</t>
  </si>
  <si>
    <t>ตรวจสอบความสมพงศ์ของคู่</t>
  </si>
  <si>
    <t>ลัคนาต้องสัมพันธ์กัน ดาวกุมลัคนาและ/หรือตนุลัคน์ต้องไม่เป็นคู่ศัตรูกัน ถ้าเป็นคู่มิตร คู่ธาตุ คู่สมพล ยิ่งดี</t>
  </si>
  <si>
    <t>สมพงศ์, ลัคนา, ตนุลัคน์, คู่มิตร</t>
  </si>
  <si>
    <t>ดาวเกษตรเจ้าเรือนภพปัตนิของแต่ละคน</t>
  </si>
  <si>
    <t>ต้องไม่ไปอยู่ภพอริ มรณะ วินาศ ถ้าได้ครบก็ไม่ขัดแย้งกันเลย ถึงไม่ครบก็พิจารณาหนักเบาได้</t>
  </si>
  <si>
    <t>สมพงศ์, ปัตนิ, เจ้าเรือน, ภพร้าย</t>
  </si>
  <si>
    <t>ดวงไม่สัมพันธ์กัน แต่ยังไม่แน่ว่าขัดแย้ง</t>
  </si>
  <si>
    <t>ไม่ถูกโฉลกกัน แต่จะขัดแย้งหรือเปล่าต้องดูดาวและภพตามหลักการ</t>
  </si>
  <si>
    <t>สมพงศ์, ไม่ถูกโฉลก, ขัดแย้ง</t>
  </si>
  <si>
    <t>chapter_79</t>
  </si>
  <si>
    <t>คนดวงสมพงศ์กัน ต้องดูดาวศุกร์ด้วยหรือเปล่า</t>
  </si>
  <si>
    <t>พิจารณาดาวศุกร์ในเรื่องความรัก</t>
  </si>
  <si>
    <t>ดาวศุกร์ไม่ใช่ความรัก แต่เป็นกำหนัดความใคร่ — ไม่เกี่ยวกับการดูความสมพงศ์</t>
  </si>
  <si>
    <t>ศุกร์, ความรัก, กำหนัด, สมพงศ์</t>
  </si>
  <si>
    <t>ดูความสมพงศ์ของคู่</t>
  </si>
  <si>
    <t>ดูดาวกุมลัคนาและตนุลัคน์เป็นหลัก แยกภพตนุหรือปัตนิ ดูทีละคู่</t>
  </si>
  <si>
    <t>สมพงศ์, ลัคนา, ตนุลัคน์, ปัตนิ</t>
  </si>
  <si>
    <t>คู่ที่ดวงขัดแย้งกัน</t>
  </si>
  <si>
    <t>ยังอยู่ด้วยกันได้ ทะเลาะกันไป มีลูกหัวปีท้ายปี อย่าด่วนสรุปว่าจะอยู่ด้วยกันไม่ได้</t>
  </si>
  <si>
    <t>ขัดแย้ง, อยู่ด้วยกัน, ไม่ด่วนสรุป</t>
  </si>
  <si>
    <t>chapter_80</t>
  </si>
  <si>
    <t>ดวงนี้ขัดแย้งกับคู่หรือเปล่า</t>
  </si>
  <si>
    <t>ดาวเสาร์ลอยในภพปัตนิ (เป็นเกษตร) และดาว ๖ อยู่กุมลัคนา</t>
  </si>
  <si>
    <t>ขัดแย้งแน่นอน คู่ใหญ่กว่า ข่มด้วย เพราะร้ายกว่าดาว ๖</t>
  </si>
  <si>
    <t>ปัตนิ, เสาร์, เกษตร, ขัดแย้ง, ศุกร์</t>
  </si>
  <si>
    <t>ดาว ๗ ไปอยู่ภพอื่น ไม่สัมพันธ์กับดาว ๖</t>
  </si>
  <si>
    <t>ไม่ขัดแย้งกัน</t>
  </si>
  <si>
    <t>ปัตนิ, เสาร์, ไม่สัมพันธ์, ไม่ขัดแย้ง</t>
  </si>
  <si>
    <t>ดาว ๓ ลอยในภพปัตนิ</t>
  </si>
  <si>
    <t>มีคู่เป็นคู่มิตร ยิ่งกว่าคู่หูอีก</t>
  </si>
  <si>
    <t>ปัตนิ, อังคาร, คู่มิตร</t>
  </si>
  <si>
    <t>ดาว ๗ เจ้าเรือนปัตนิ ไปอยู่ภพอริ</t>
  </si>
  <si>
    <t>ขัดแย้งกับคู่ หุ้นกับใครหรือคู่กับใครก็จะมีปัญหาขัดแย้งกันตลอด</t>
  </si>
  <si>
    <t>ปัตนิ, เจ้าเรือน, อริ, ขัดแย้งตลอด</t>
  </si>
  <si>
    <t>chapter_81</t>
  </si>
  <si>
    <t>ดาว ๗ อยู่ภพปุตตะ คู่กับมฤตยู</t>
  </si>
  <si>
    <t>ดาว ๗ ไปอยู่ภพปุตตะ</t>
  </si>
  <si>
    <t>จะได้คู่ที่ต้องดูแลเหมือนเป็นลูกหลานหรือบริวาร</t>
  </si>
  <si>
    <t>เสาร์, ปุตตะ, คู่, ดูแลเหมือนลูก</t>
  </si>
  <si>
    <t>ดาว ๗ คู่กับมฤตยูในภพปุตตะ — การวิเคราะห์เพิ่มเติม</t>
  </si>
  <si>
    <t>ดูชั้นแรกเป็นหลัก ไม่ดูลึกกว่านั้น เพราะไม่แน่นอน ต้องดูดวงชาตาของคู่โดยตรงอีกที</t>
  </si>
  <si>
    <t>เสาร์, มฤตยู, ปุตตะ, ดูชั้นเดียว</t>
  </si>
  <si>
    <t>chapter_82</t>
  </si>
  <si>
    <t>ต้องดูดาวมฤตยูที่ร่วมกับ ๗ ในปุตตะด้วยไหม</t>
  </si>
  <si>
    <t>ดาว ๐ และ ๗ ตรีโกณถึงตนุ</t>
  </si>
  <si>
    <t>พอแล้ว อย่าไปถึงปัตนิ ไกลไป ดูชั้นแรกเป็นหลัก ชั้นที่ 2 เป็นบางเรื่อง ชั้นที่ 3 ไม่แน่นอน</t>
  </si>
  <si>
    <t>มฤตยู, เสาร์, ตรีโกณ, ตนุ, ดูชั้นเดียว</t>
  </si>
  <si>
    <t>ดาว ๗ ดี — ข้อสรุปเรื่องคู่</t>
  </si>
  <si>
    <t>จะได้คู่ดี อย่าเพิ่งเอาดาว ๐ มาคิดว่าคู่ไม่ดี แค่หมายความว่าคู่อาจแปรปรวน ไม่คงทน เปลี่ยนคู่ได้</t>
  </si>
  <si>
    <t>เสาร์, คู่ดี, มฤตยู, แปรปรวน</t>
  </si>
  <si>
    <t>ดาว ๐ และ ๗ สัมพันธ์ถึงตนุ</t>
  </si>
  <si>
    <t>เจ้าชาตาเป็นคนคิดมาก อารมณ์แปรปรวน เข้าใจยาก</t>
  </si>
  <si>
    <t>มฤตยู, เสาร์, ตนุ, อารมณ์แปรปรวน</t>
  </si>
  <si>
    <t>chapter_83</t>
  </si>
  <si>
    <t>สรุปความเข้าใจ ๗ กับ ๐ ในภพปัตนิ</t>
  </si>
  <si>
    <t>ดาว ๗ กับ ๐ อยู่ด้วยกันในภพปัตนิ</t>
  </si>
  <si>
    <t>ทุกดวงต้องถึงตนุเป็นหลัก เรื่องเจ้าเรือนคู่ดูชั้นเดียวว่าดีหรือไม่ดีไปไหนเท่านั้น</t>
  </si>
  <si>
    <t>เสาร์, มฤตยู, ปัตนิ, ตนุ, ดูชั้นเดียว</t>
  </si>
  <si>
    <t>ดาว ๖ กุมลัคนา และ ๗ ลอยอยู่ปัตนิ</t>
  </si>
  <si>
    <t>ขัดแย้งกับคู่ตรงๆ</t>
  </si>
  <si>
    <t>ศุกร์, ลัคนา, เสาร์, ปัตนิ, ขัดแย้ง</t>
  </si>
  <si>
    <t>มีดาว ๐ ในปัตนิด้วย</t>
  </si>
  <si>
    <t>ปัตนิแปรปรวน อาจเปลี่ยนคู่ ถ้าสัมพันธ์ถึงตนุด้วย เจ้าชาตาเป็นคนมีเซนส์หรือแปรปรวน</t>
  </si>
  <si>
    <t>มฤตยู, ปัตนิ, แปรปรวน, เปลี่ยนคู่</t>
  </si>
  <si>
    <t>ราศีพิจิก ดาว ๐ และ ๗ กุมลัคนา</t>
  </si>
  <si>
    <t>แข็ง หนักแน่น จริงจัง อารมณ์แปรปรวน เข้าใจยาก</t>
  </si>
  <si>
    <t>พิจิก, มฤตยู, เสาร์, ลัคนา, นิสัย</t>
  </si>
  <si>
    <t>chapter_84</t>
  </si>
  <si>
    <t>คำว่า 'คู่ดี' ดีในเรื่องของอะไร</t>
  </si>
  <si>
    <t>นิยามคู่ดีโดยรวม</t>
  </si>
  <si>
    <t>นิสัยเข้ากันได้ดี ทุกอย่างไม่ด้อยกว่าเจ้าชาตา — เทียบกับเจ้าชาตา ไม่ใช่เทียบกับคนอื่น</t>
  </si>
  <si>
    <t>คู่ดี, นิสัย, เทียบเจ้าชาตา</t>
  </si>
  <si>
    <t>คนรวยของคนอื่น แต่ยังจนกว่าเจ้าชาตา</t>
  </si>
  <si>
    <t>ถือเป็นคู่ไม่ดี ต่ำกว่า — แย่ของคนอื่นอาจดีเลิศสำหรับเรา เป็นนามธรรมเทียบกับเจ้าชาตาทั้งนั้น</t>
  </si>
  <si>
    <t>คู่ดี, ฐานะ, นามธรรม, เทียบเจ้าชาตา</t>
  </si>
  <si>
    <t>chapter_85</t>
  </si>
  <si>
    <t>คู่ดีไม่จำเป็นต้องรวย</t>
  </si>
  <si>
    <t>เจ้าชาตารวยอยู่แล้ว และตั้งปณิธานอยากได้คู่ขยัน</t>
  </si>
  <si>
    <t>คู่ดีสำหรับเขาอาจมีฐานะเพียงปานกลาง แต่ขยันเอาการเอางานตามที่ต้องการ — ดีถูกใจก็พอแล้ว ไม่จำเป็นต้องรวยหรือเรียนสูง</t>
  </si>
  <si>
    <t>คู่ดี, ไม่ต้องรวย, ตามใจต้องการ, เทียบเจ้าชาตา</t>
  </si>
  <si>
    <t>chapter_86</t>
  </si>
  <si>
    <t>ดาวลอยภพกฎุมพะ ไม่ได้มาจากภพพันธุ</t>
  </si>
  <si>
    <t>ลูกคนรวย ดาวลอยในภพกฎุมพะมาจากภพพันธุ</t>
  </si>
  <si>
    <t>ไม่เกี่ยวกัน — พี่น้อง 3 คนในบ้านเดียวกันดาวการเงินไม่จำเป็นต้องมาจากพันธุทุกคน ทั้งที่เงินพ่อแม่ทั้งนั้น</t>
  </si>
  <si>
    <t>กฎุมพะ, พันธุ, ดาวลอย, ความเข้าใจผิด</t>
  </si>
  <si>
    <t>ไม่มีดาวลอยในภพกฎุมพะ</t>
  </si>
  <si>
    <t>ไม่ได้แปลว่าไม่มีเงินหรือหาเงินไม่ได้ — ดาวเจ้าเรือนกฎุมพะไปมีคุณภาพดีที่ภพอื่นก็เพียงพอแล้ว ดูว่าไปไหนชัดกว่าดูว่ามาจากไหน</t>
  </si>
  <si>
    <t>กฎุมพะ, เจ้าเรือน, การเงิน, ดาวลอย</t>
  </si>
  <si>
    <t>chapter_87</t>
  </si>
  <si>
    <t>มาตรฐานดาวในภพปัตนิ อุจ vs ราชาโชค</t>
  </si>
  <si>
    <t>ดาวในภพปัตนิเป็นเกษตร</t>
  </si>
  <si>
    <t>คู่มั่นคงถาวร หุ้นกับใครได้นาน</t>
  </si>
  <si>
    <t>ปัตนิ, เกษตร, คู่มั่นคง</t>
  </si>
  <si>
    <t>ดาวในภพปัตนิเป็นประเกษตร</t>
  </si>
  <si>
    <t>คู่มาเป็นภาระ มาอยู่กับตัวเท่านั้น ไม่ได้ต่ำต้อย</t>
  </si>
  <si>
    <t>ปัตนิ, ประเกษตร, คู่เป็นภาระ</t>
  </si>
  <si>
    <t>ดาวในภพปัตนิเป็นนิจ</t>
  </si>
  <si>
    <t>ในเรื่องคู่ นิจกับประไม่ต่างกันมาก — เอาแค่ดีกับเสีย</t>
  </si>
  <si>
    <t>ปัตนิ, นิจ, คู่ด้อย</t>
  </si>
  <si>
    <t>เปรียบ อุจ กับ ราชาโชค ในภพปัตนิ</t>
  </si>
  <si>
    <t>อุจไม่ได้แปลว่าคู่ดียอดเยี่ยม ความหมายของอุจชัดเจนในภพการเงินและตนุมากกว่า ในเรื่องคู่ให้ดูแค่ดีหรือเสีย</t>
  </si>
  <si>
    <t>ปัตนิ, อุจ, ราชาโชค, การตีความ</t>
  </si>
  <si>
    <t>chapter_88</t>
  </si>
  <si>
    <t>ดาว ๓ ตนุลัคน์/ตนุเศษ กับดาวศุกร์แรง แปลว่าเจ้าชู้ไหม</t>
  </si>
  <si>
    <t>ดาว ๓ เป็นตนุลัคน์หรือตนุเศษ และดาวศุกร์แรงสัมพันธ์ถึง</t>
  </si>
  <si>
    <t>ไม่ได้แปลว่าเจ้าชู้ แต่กำหนัดแรง แรงขับสูง — ถ้า ๕ ไม่สัมพันธ์ขาดสติยั้งคิดด้วยจึงอาจเจ้าชู้ได้</t>
  </si>
  <si>
    <t>อังคาร, ตนุลัคน์, ศุกร์, กำหนัด, เจ้าชู้</t>
  </si>
  <si>
    <t>ดาว ๖ และ ๑ หรือ ๖ และ ๓ ร่วมราศีกุมลัคนาหรือเล็ง</t>
  </si>
  <si>
    <t>ชัดเจนที่สุดว่ากำหนัดแรง</t>
  </si>
  <si>
    <t>ศุกร์, อาทิตย์, อังคาร, ร่วมราศี, ลัคนา, กำหนัด</t>
  </si>
  <si>
    <t>ดาว ๓ เกษตร และ ๖ ราชาโชค สัมพันธ์ถึงทั้งคู่</t>
  </si>
  <si>
    <t>กำหนัดแรง แต่น้อยกว่ากรณีร่วมราศี</t>
  </si>
  <si>
    <t>อังคาร, ศุกร์, เกษตร, ราชาโชค, กำหนัด</t>
  </si>
  <si>
    <t>ดาวไม่ร่วมราศีและไม่แรง</t>
  </si>
  <si>
    <t>อย่าพยายามตีว่ากำหนัดสูงหรือเจ้าชู้ — ดาวต้องดีทั้งคู่ด้วย ไม่ใช่ดาวเสีย</t>
  </si>
  <si>
    <t>ศุกร์, อังคาร, ไม่แรง, ข้อควรระวัง</t>
  </si>
  <si>
    <t>chapter_89</t>
  </si>
  <si>
    <t>ดวงชาตาไม่มีคู่เลยมีจริงไหม</t>
  </si>
  <si>
    <t>ดวงที่ดูเหมือนไม่มีคู่</t>
  </si>
  <si>
    <t>ดวงไม่มีคู่เลยจริงๆไม่มี ฟันธงไม่ได้ — มีแต่มีคู่ยาก เช่น คู่เป็นอริ คู่ตกมรณะหรือวินาศ แต่ก็มีคู่ได้ทั้งนั้น</t>
  </si>
  <si>
    <t>ปัตนิ, ไม่มีคู่, มีคู่ยาก, ฟันธงไม่ได้</t>
  </si>
  <si>
    <t>ดาวเจ้าเรือนคู่มากุมลัคนา</t>
  </si>
  <si>
    <t>เอาตัวเองเป็นคู่ หรือคู่มาอยู่เป็นภาระ</t>
  </si>
  <si>
    <t>ปัตนิ, เจ้าเรือน, ลัคนา, ตัวเองเป็นคู่</t>
  </si>
  <si>
    <t>คู่ตกภพมรณะ</t>
  </si>
  <si>
    <t>อาจแฟนตายก่อนแต่ง โสดนาน แต่งแล้วคู่ตาย เลิกรา คู่แก่กว่ามาก หรือมีคู่ตอนแก่</t>
  </si>
  <si>
    <t>ปัตนิ, มรณะ, โสดนาน, คู่ตาย</t>
  </si>
  <si>
    <t>chapter_90</t>
  </si>
  <si>
    <t>ดาวเสาร์จรทับลัคนา กับทับตนุลัคน์ ต่างกันอย่างไร</t>
  </si>
  <si>
    <t>ดาวเสาร์จรทับลัคนา</t>
  </si>
  <si>
    <t>มีผลถึงภพตนุ 100% ปัตนิ 80% สหัชชะและลาภะ 60% ปุตตะและศุภะ 50% — มีผลรอบทิศ รอบข้างมากมาย และรอบข้างส่งผลกลับถึงเจ้าชาตาด้วย</t>
  </si>
  <si>
    <t>เสาร์, ดาวจร, ทับลัคนา, ผลรอบทิศ</t>
  </si>
  <si>
    <t>ดาวเสาร์จรทับตนุลัคน์</t>
  </si>
  <si>
    <t>มีผลถึงเจ้าชาตาเพียงอย่างเดียวและเพียงครึ่งเดียว (ถ้ามีดาวกุมลัคนา) แต่อาจมีผลถึงภพที่เกี่ยวข้องได้</t>
  </si>
  <si>
    <t>เสาร์, ดาวจร, ทับตนุลัคน์, ผลแคบกว่า</t>
  </si>
  <si>
    <t>chapter_91</t>
  </si>
  <si>
    <t>ดาวเสาร์จร ควรระวังเรื่องอะไรบ้าง</t>
  </si>
  <si>
    <t>ดาวเสาร์จรสัมพันธ์กับ ๘ เดิมหรือ ๘ จรด้วยกัน</t>
  </si>
  <si>
    <t>อาจเกิดทุกเรื่อง — อึดอัด เจ็บป่วย ตาย ธุรกิจเสียหาย หรือกลายเป็นดีก็ได้ ขึ้นอยู่กับว่า ๘ เดิมอยู่ในภพอะไร</t>
  </si>
  <si>
    <t>เสาร์, ดาวจร, ราหู, ผลรุนแรง</t>
  </si>
  <si>
    <t>ดาวเสาร์จร ประเมินความหนักเบา</t>
  </si>
  <si>
    <t>ต้องดูว่ามีดาวร้ายจรอื่นให้โทษด้วยหรือไม่ หนักเบาขนาดไหน แล้วใช้ความระมัดระวังให้มากตามนั้น</t>
  </si>
  <si>
    <t>เสาร์, ดาวจร, ดาวร้าย, ประเมินความหนัก</t>
  </si>
  <si>
    <t>chapter_92</t>
  </si>
  <si>
    <t>ราหูเด่น พฤหัสด้อย แต่ไม่สัมพันธ์ลัคนาทั้งคู่</t>
  </si>
  <si>
    <t>ราหูดี และพฤหัสเสีย แต่ไม่สัมพันธ์ลัคนาทั้งคู่</t>
  </si>
  <si>
    <t>ไม่แสดงผลทั้งคู่ตลอดเวลา — แต่มีโอกาสลุ่มหลงหรือโกงได้มาก เพียงแต่ไม่แสดงออกหรือไม่ตลอดเวลา ทำผิดแค่ครั้งเดียวก็มากมายแล้ว ต้องระวัง</t>
  </si>
  <si>
    <t>ราหู, พฤหัส, ไม่สัมพันธ์ลัคนา, โกง, ลุ่มหลง</t>
  </si>
  <si>
    <t>พฤหัสเสีย ไม่สัมพันธ์ลัคนา</t>
  </si>
  <si>
    <t>จะไม่นึกถึงคุณธรรมเลย ขาดสติยั้งคิด ทำชั่วได้ง่าย</t>
  </si>
  <si>
    <t>พฤหัส, เสีย, ไม่สัมพันธ์ลัคนา, ขาดคุณธรรม</t>
  </si>
  <si>
    <t>ราหูดี เป็นอุจหรือมหาจักร ไม่สัมพันธ์ลัคนา</t>
  </si>
  <si>
    <t>ฉลาดทันคนทันเล่ห์ แต่บางเวลาลุ่มหลงหรือโกง คาดเดาได้ยาก</t>
  </si>
  <si>
    <t>ราหู, อุจ, มหาจักร, ไม่สัมพันธ์ลัคนา, เล่ห์เหลี่ยม</t>
  </si>
  <si>
    <t>chapter_93</t>
  </si>
  <si>
    <t>ดาว ๒ มหาจักรในกฎุมพะ vs อุจในสหัชชะ ต่างกันอย่างไร</t>
  </si>
  <si>
    <t>ลัคนาราศีมีน ดาว ๒ มหาจักร อยู่ภพกฎุมพะ</t>
  </si>
  <si>
    <t>ได้เงินทองทรัพย์สินด้วยวิธีแปลกๆ ได้เป็นก้อนเป็นกอบเป็นกำ</t>
  </si>
  <si>
    <t>จันทร์, มหาจักร, กฎุมพะ, การเงิน, ได้เป็นก้อน</t>
  </si>
  <si>
    <t>ลัคนาราศีมีน ดาว ๒ อุจ อยู่ภพสหัชชะ โยคหน้า</t>
  </si>
  <si>
    <t>กิริยามารยาทดี มีเสน่ห์สม่ำเสมอ มีเพื่อนดี — ถ้าผู้หญิงเป็นดารายิ่งดีมาก ไม่ใช่เรื่องการเงิน</t>
  </si>
  <si>
    <t>จันทร์, อุจ, สหัชชะ, เสน่ห์, มารยาทดี, เพื่อนดี</t>
  </si>
  <si>
    <t>chapter_94</t>
  </si>
  <si>
    <t>ราหูในภพการเงินเป็นมหาจักร ต้องบวกเจ้าเรือนด้วยไหม</t>
  </si>
  <si>
    <t>ดาวลอยมีคุณภาพดีในภพ และดาวเจ้าเรือนเป็นคู่มิตรกัน</t>
  </si>
  <si>
    <t>ไม่บวกเจ้าเรือนเข้าไปด้วย — ไม่เห็นดาวก็อย่าเอามาคิด เดี๋ยวมั่ว</t>
  </si>
  <si>
    <t>ราหู, มหาจักร, เจ้าเรือน, ไม่บวก, ข้อควรระวัง</t>
  </si>
  <si>
    <t>chapter_95</t>
  </si>
  <si>
    <t>บางตำราเอาเรือนที่ดาวไปอยู่มาเพิ่มความแรงของดาว</t>
  </si>
  <si>
    <t>ระบบที่เอาภพที่ดาวไปอยู่มาเพิ่มหรือลดความแรง</t>
  </si>
  <si>
    <t>มีเพิ่มก็ต้องมีลด ทำให้ไม่แน่นอน — อะไรที่ไม่แน่นอนให้ตัดทิ้งก่อน</t>
  </si>
  <si>
    <t>ความแรงดาว, ภพ, ระบบตำรา, ข้อควรระวัง, ตัดทิ้ง</t>
  </si>
  <si>
    <t>chapter_96</t>
  </si>
  <si>
    <t>ดาวลอย vs ดาวเจ้าเรือน อันไหนสำคัญกว่า</t>
  </si>
  <si>
    <t>พื้นดวงชาตา มาตรฐานดาวเท่าๆกัน</t>
  </si>
  <si>
    <t>ถือว่าสำคัญเท่ากันทุกดวง เพราะใช้แต่คุณภาพดาว</t>
  </si>
  <si>
    <t>ดาวลอย, เจ้าเรือน, พื้นดวง, สำคัญเท่ากัน</t>
  </si>
  <si>
    <t>กรณีดาวจร</t>
  </si>
  <si>
    <t>ต้องดูดาวเจ้าเรือนเป็นสำคัญ</t>
  </si>
  <si>
    <t>ดาวจร, เจ้าเรือน, สำคัญกว่า</t>
  </si>
  <si>
    <t>chapter_97</t>
  </si>
  <si>
    <t>ดาวลอยดี แต่เจ้าเรือนกฎุมพะด้อย มีดีมีร้ายสลับกันไหม</t>
  </si>
  <si>
    <t>ดาวลอยในภพกฎุมพะคุณภาพดี แต่เจ้าเรือนกฎุมพะด้อย</t>
  </si>
  <si>
    <t>ไม่ใช่สลับกัน แต่ปนกันทั้งดีและเสีย — แล้วแต่ว่าตอนไหนจะดีตอนไหนจะเสีย</t>
  </si>
  <si>
    <t>กฎุมพะ, ดาวลอย, เจ้าเรือน, ดีปนเสีย</t>
  </si>
  <si>
    <t>เจ้าเรือนด้อยไปอยู่ภพใด</t>
  </si>
  <si>
    <t>อาจบอกได้ว่าไปเสียในเรื่องนั้นภพนั้น — เป็นข้อสังเกตที่ยังไม่เคยพิสูจน์ไปไกลขนาดนั้น</t>
  </si>
  <si>
    <t>เจ้าเรือน, ด้อย, ภพ, ข้อสังเกต</t>
  </si>
  <si>
    <t>chapter_98</t>
  </si>
  <si>
    <t>เจ้าเรือนกฎุมพะไปอยู่ศุภะ แต่เป็นนิจ ตีความอย่างไร</t>
  </si>
  <si>
    <t>ดาวเจ้าเรือนกฎุมพะไปอยู่ภพศุภะ แต่เป็นนิจ</t>
  </si>
  <si>
    <t>ใช้ได้ — ดาวดีไปไหนก็แปลตามนั้น แต่นิจด้วยก็อาจเสียมากหน่อย</t>
  </si>
  <si>
    <t>กฎุมพะ, ศุภะ, นิจ, เจ้าเรือน, เสียมากหน่อย</t>
  </si>
  <si>
    <t>ดาว ๖ ตกภพมรณะ ราศีเมษ เป็นอุจจาภิมุข และประเกษตร</t>
  </si>
  <si>
    <t>เงินไม่ขาดมือ แต่หมดไปกับการกินเที่ยว ความบันเทิง ตลอดชีวิต</t>
  </si>
  <si>
    <t>ศุกร์, มรณะ, อุจจาภิมุข, ประเกษตร, เงินหมดกับความบันเทิง</t>
  </si>
  <si>
    <t>chapter_99</t>
  </si>
  <si>
    <t>จะได้ไปเรียนต่างประเทศ ดูดาวอะไร</t>
  </si>
  <si>
    <t>ถามว่าจะได้ไปเรียนต่างประเทศไหม ดูดาวอะไร</t>
  </si>
  <si>
    <t>ไม่มีดาวอะไรบอกได้ชัดเจน — ดาว ๘ หรือ ๐ ที่เคยใช้ดู ข้อมูลมากมายพิสูจน์แล้วว่าไม่ถูกต้อง</t>
  </si>
  <si>
    <t>ราหู, มฤตยู, ต่างประเทศ, ไม่มีดาวบอกชัด</t>
  </si>
  <si>
    <t>สมัยนี้อยากไปเรียนต่างประเทศ</t>
  </si>
  <si>
    <t>ไม่ต้องดูดาว — ถามว่ามีเงินและมีความพร้อมหรือเปล่า ก็ไปได้ทุกคน</t>
  </si>
  <si>
    <t>ต่างประเทศ, ความพร้อม, ไม่ต้องดูดาว</t>
  </si>
  <si>
    <t>condition_id</t>
  </si>
  <si>
    <t>seq</t>
  </si>
  <si>
    <t>quality_required</t>
  </si>
  <si>
    <t>lagna_aspect_req</t>
  </si>
  <si>
    <t>required</t>
  </si>
  <si>
    <t>INT PK AUTO</t>
  </si>
  <si>
    <t>INT FK→tb_predictions</t>
  </si>
  <si>
    <t>CHAR A/B/C/D</t>
  </si>
  <si>
    <t>VARCHAR FK→tb_planets nullable</t>
  </si>
  <si>
    <t>ENUM คุณ|โทษ|ANY</t>
  </si>
  <si>
    <t>ENUM KUM|LENG|YOK|TRI|NONE|ANY</t>
  </si>
  <si>
    <t>VARCHAR FK→tb_houses nullable</t>
  </si>
  <si>
    <t>INT FK→tb_anchor_points nullable</t>
  </si>
  <si>
    <t>BOOLEAN TRUE=บังคับ</t>
  </si>
  <si>
    <t>TEXT</t>
  </si>
  <si>
    <t>A</t>
  </si>
  <si>
    <t>คุณ</t>
  </si>
  <si>
    <t>JU ดีกุมลัคนา — ผลเด่น คุณธรรม</t>
  </si>
  <si>
    <t>B</t>
  </si>
  <si>
    <t>โทษ</t>
  </si>
  <si>
    <t>RA เสียเล็งลัคนา — ถูกหลอก</t>
  </si>
  <si>
    <t>RA ดีกุมลัคนา — เจ้าเล่ห์</t>
  </si>
  <si>
    <t>ANY</t>
  </si>
  <si>
    <t>JU เสีย — ขาดคุณธรรม optional</t>
  </si>
  <si>
    <t>← ตัวอย่าง sample rows เท่านั้น</t>
  </si>
  <si>
    <t>Horatad Master Dictionary V3.0</t>
  </si>
  <si>
    <t>Sheet</t>
  </si>
  <si>
    <t>คำอธิบาย</t>
  </si>
  <si>
    <t>tb_planets</t>
  </si>
  <si>
    <t>ดาวเคราะห์ 10 ดวง — id + code + name_th + name_en</t>
  </si>
  <si>
    <t>tb_zodiacs</t>
  </si>
  <si>
    <t>ราศี 12 ราศี — id + code + เกษตร/อุจ planet mapping</t>
  </si>
  <si>
    <t>tb_houses</t>
  </si>
  <si>
    <t>ภพ 12 ภพ — id + code + ดี/เสีย + domain</t>
  </si>
  <si>
    <t>tb_standards</t>
  </si>
  <si>
    <t>คุณภาพดาว 11 ระดับ — id + code + getStandards() mapping</t>
  </si>
  <si>
    <t>tb_aspects</t>
  </si>
  <si>
    <t>มุมสัมพันธ์ 5 แบบ — id + code + strength %</t>
  </si>
  <si>
    <t>tb_categories</t>
  </si>
  <si>
    <t>Master Tags 10 หมวด — id + code + tag</t>
  </si>
  <si>
    <t>tb_pairs</t>
  </si>
  <si>
    <t>คู่ดาว 16 คู่ — id + code + มิตร/ธาตุ/สมพล/ศัตรู</t>
  </si>
  <si>
    <t>tb_predictions</t>
  </si>
  <si>
    <t>342 rules จาก KB — condition + predict_text + category</t>
  </si>
  <si>
    <t>หมายเหตุสำคัญ</t>
  </si>
  <si>
    <t>category_code/tag</t>
  </si>
  <si>
    <t>planet_id=0</t>
  </si>
  <si>
    <t>tb_predictions.notes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</si>
</sst>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4"/>
      <color rgb="FFB8860B"/>
      <name val="Arial"/>
      <family val="2"/>
    </font>
    <font>
      <b/>
      <sz val="10"/>
      <name val="Arial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i/>
      <sz val="11"/>
      <color rgb="FF888888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B8860B"/>
      </patternFill>
    </fill>
    <fill>
      <patternFill patternType="solid">
        <fgColor rgb="FFF5F5F5"/>
      </patternFill>
    </fill>
    <fill>
      <patternFill patternType="solid">
        <fgColor rgb="FFE8F5E9"/>
      </patternFill>
    </fill>
    <fill>
      <patternFill patternType="solid">
        <fgColor rgb="FFF1F8E9"/>
      </patternFill>
    </fill>
    <fill>
      <patternFill patternType="solid">
        <fgColor rgb="FFFFFFF9"/>
      </patternFill>
    </fill>
    <fill>
      <patternFill patternType="solid">
        <fgColor rgb="FFFFEBEE"/>
      </patternFill>
    </fill>
    <fill>
      <patternFill patternType="solid">
        <fgColor rgb="FFFFCDD2"/>
      </patternFill>
    </fill>
    <fill>
      <patternFill patternType="solid">
        <fgColor rgb="FFFAFAFA"/>
      </patternFill>
    </fill>
    <fill>
      <patternFill patternType="solid">
        <fgColor rgb="FFE3F2FD"/>
      </patternFill>
    </fill>
    <fill>
      <patternFill patternType="solid">
        <fgColor rgb="FFFFF9C4"/>
      </patternFill>
    </fill>
    <fill>
      <patternFill patternType="solid">
        <fgColor rgb="FF1A6B3C"/>
      </patternFill>
    </fill>
    <fill>
      <patternFill patternType="solid">
        <fgColor rgb="FFB886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left" vertical="center"/>
    </xf>
    <xf numFmtId="0" fontId="2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1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>
      <pane ySplit="1" topLeftCell="A6" activePane="bottomLeft" state="frozen"/>
      <selection pane="bottomLeft" activeCell="D14" sqref="D14"/>
    </sheetView>
  </sheetViews>
  <sheetFormatPr defaultRowHeight="14.5" x14ac:dyDescent="0.35"/>
  <cols>
    <col min="1" max="1" width="10" customWidth="1"/>
    <col min="2" max="2" width="8" customWidth="1"/>
    <col min="3" max="3" width="12" customWidth="1"/>
    <col min="4" max="4" width="14" customWidth="1"/>
    <col min="5" max="5" width="10" customWidth="1"/>
    <col min="6" max="6" width="8" customWidth="1"/>
    <col min="7" max="7" width="14" customWidth="1"/>
    <col min="8" max="8" width="40" customWidth="1"/>
    <col min="9" max="9" width="12" customWidth="1"/>
    <col min="10" max="10" width="30" customWidth="1"/>
    <col min="11" max="11" width="18" customWidth="1"/>
  </cols>
  <sheetData>
    <row r="1" spans="1:11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7" t="s">
        <v>10</v>
      </c>
    </row>
    <row r="2" spans="1:11" x14ac:dyDescent="0.35">
      <c r="A2" s="2">
        <v>1</v>
      </c>
      <c r="B2" s="2" t="s">
        <v>11</v>
      </c>
      <c r="C2" s="3" t="s">
        <v>12</v>
      </c>
      <c r="D2" s="3" t="s">
        <v>13</v>
      </c>
      <c r="E2" s="2" t="s">
        <v>14</v>
      </c>
      <c r="F2" s="2" t="s">
        <v>15</v>
      </c>
      <c r="G2" s="3" t="s">
        <v>16</v>
      </c>
      <c r="H2" s="3" t="s">
        <v>17</v>
      </c>
      <c r="I2" s="2">
        <v>1</v>
      </c>
      <c r="J2" s="3" t="s">
        <v>18</v>
      </c>
      <c r="K2" s="28">
        <v>0</v>
      </c>
    </row>
    <row r="3" spans="1:11" x14ac:dyDescent="0.35">
      <c r="A3" s="4">
        <v>2</v>
      </c>
      <c r="B3" s="4" t="s">
        <v>19</v>
      </c>
      <c r="C3" s="5" t="s">
        <v>20</v>
      </c>
      <c r="D3" s="5" t="s">
        <v>21</v>
      </c>
      <c r="E3" s="4" t="s">
        <v>22</v>
      </c>
      <c r="F3" s="4" t="s">
        <v>23</v>
      </c>
      <c r="G3" s="5" t="s">
        <v>24</v>
      </c>
      <c r="H3" s="5" t="s">
        <v>25</v>
      </c>
      <c r="I3" s="4">
        <v>2</v>
      </c>
      <c r="J3" s="5"/>
      <c r="K3" s="28">
        <v>0</v>
      </c>
    </row>
    <row r="4" spans="1:11" x14ac:dyDescent="0.35">
      <c r="A4" s="2">
        <v>3</v>
      </c>
      <c r="B4" s="2" t="s">
        <v>26</v>
      </c>
      <c r="C4" s="3" t="s">
        <v>27</v>
      </c>
      <c r="D4" s="3" t="s">
        <v>28</v>
      </c>
      <c r="E4" s="2" t="s">
        <v>29</v>
      </c>
      <c r="F4" s="2" t="s">
        <v>15</v>
      </c>
      <c r="G4" s="3" t="s">
        <v>16</v>
      </c>
      <c r="H4" s="3" t="s">
        <v>30</v>
      </c>
      <c r="I4" s="2">
        <v>3</v>
      </c>
      <c r="J4" s="3"/>
      <c r="K4" s="28">
        <v>0.7</v>
      </c>
    </row>
    <row r="5" spans="1:11" x14ac:dyDescent="0.35">
      <c r="A5" s="4">
        <v>4</v>
      </c>
      <c r="B5" s="4" t="s">
        <v>31</v>
      </c>
      <c r="C5" s="5" t="s">
        <v>32</v>
      </c>
      <c r="D5" s="5" t="s">
        <v>33</v>
      </c>
      <c r="E5" s="4" t="s">
        <v>34</v>
      </c>
      <c r="F5" s="4" t="s">
        <v>35</v>
      </c>
      <c r="G5" s="5" t="s">
        <v>24</v>
      </c>
      <c r="H5" s="5" t="s">
        <v>36</v>
      </c>
      <c r="I5" s="4">
        <v>4</v>
      </c>
      <c r="J5" s="5"/>
      <c r="K5" s="28">
        <v>0</v>
      </c>
    </row>
    <row r="6" spans="1:11" x14ac:dyDescent="0.35">
      <c r="A6" s="2">
        <v>5</v>
      </c>
      <c r="B6" s="2" t="s">
        <v>37</v>
      </c>
      <c r="C6" s="3" t="s">
        <v>38</v>
      </c>
      <c r="D6" s="3" t="s">
        <v>39</v>
      </c>
      <c r="E6" s="2" t="s">
        <v>40</v>
      </c>
      <c r="F6" s="2" t="s">
        <v>23</v>
      </c>
      <c r="G6" s="3" t="s">
        <v>24</v>
      </c>
      <c r="H6" s="3" t="s">
        <v>41</v>
      </c>
      <c r="I6" s="2">
        <v>5</v>
      </c>
      <c r="J6" s="3"/>
      <c r="K6" s="28">
        <v>0.5</v>
      </c>
    </row>
    <row r="7" spans="1:11" x14ac:dyDescent="0.35">
      <c r="A7" s="4">
        <v>6</v>
      </c>
      <c r="B7" s="4" t="s">
        <v>42</v>
      </c>
      <c r="C7" s="5" t="s">
        <v>43</v>
      </c>
      <c r="D7" s="5" t="s">
        <v>44</v>
      </c>
      <c r="E7" s="4" t="s">
        <v>45</v>
      </c>
      <c r="F7" s="4" t="s">
        <v>23</v>
      </c>
      <c r="G7" s="5" t="s">
        <v>24</v>
      </c>
      <c r="H7" s="5" t="s">
        <v>46</v>
      </c>
      <c r="I7" s="4">
        <v>6</v>
      </c>
      <c r="J7" s="5"/>
      <c r="K7" s="28">
        <v>0</v>
      </c>
    </row>
    <row r="8" spans="1:11" x14ac:dyDescent="0.35">
      <c r="A8" s="2">
        <v>7</v>
      </c>
      <c r="B8" s="2" t="s">
        <v>47</v>
      </c>
      <c r="C8" s="3" t="s">
        <v>48</v>
      </c>
      <c r="D8" s="3" t="s">
        <v>49</v>
      </c>
      <c r="E8" s="2" t="s">
        <v>50</v>
      </c>
      <c r="F8" s="2" t="s">
        <v>51</v>
      </c>
      <c r="G8" s="3" t="s">
        <v>16</v>
      </c>
      <c r="H8" s="3" t="s">
        <v>52</v>
      </c>
      <c r="I8" s="2">
        <v>7</v>
      </c>
      <c r="J8" s="3"/>
      <c r="K8" s="28">
        <v>0.9</v>
      </c>
    </row>
    <row r="9" spans="1:11" x14ac:dyDescent="0.35">
      <c r="A9" s="4">
        <v>8</v>
      </c>
      <c r="B9" s="4" t="s">
        <v>53</v>
      </c>
      <c r="C9" s="5" t="s">
        <v>54</v>
      </c>
      <c r="D9" s="5" t="s">
        <v>55</v>
      </c>
      <c r="E9" s="4" t="s">
        <v>56</v>
      </c>
      <c r="F9" s="4" t="s">
        <v>51</v>
      </c>
      <c r="G9" s="5" t="s">
        <v>16</v>
      </c>
      <c r="H9" s="5" t="s">
        <v>57</v>
      </c>
      <c r="I9" s="4">
        <v>8</v>
      </c>
      <c r="J9" s="5" t="s">
        <v>58</v>
      </c>
      <c r="K9" s="28">
        <v>0.6</v>
      </c>
    </row>
    <row r="10" spans="1:11" x14ac:dyDescent="0.35">
      <c r="A10" s="2">
        <v>9</v>
      </c>
      <c r="B10" s="2" t="s">
        <v>59</v>
      </c>
      <c r="C10" s="3" t="s">
        <v>60</v>
      </c>
      <c r="D10" s="3" t="s">
        <v>61</v>
      </c>
      <c r="E10" s="2" t="s">
        <v>62</v>
      </c>
      <c r="F10" s="2" t="s">
        <v>63</v>
      </c>
      <c r="G10" s="3" t="s">
        <v>16</v>
      </c>
      <c r="H10" s="3" t="s">
        <v>64</v>
      </c>
      <c r="I10" s="2">
        <v>9</v>
      </c>
      <c r="J10" s="3" t="s">
        <v>58</v>
      </c>
      <c r="K10" s="28">
        <v>0</v>
      </c>
    </row>
    <row r="11" spans="1:11" x14ac:dyDescent="0.35">
      <c r="A11" s="4">
        <v>0</v>
      </c>
      <c r="B11" s="4" t="s">
        <v>65</v>
      </c>
      <c r="C11" s="5" t="s">
        <v>66</v>
      </c>
      <c r="D11" s="5" t="s">
        <v>67</v>
      </c>
      <c r="E11" s="4" t="s">
        <v>68</v>
      </c>
      <c r="F11" s="4" t="s">
        <v>63</v>
      </c>
      <c r="G11" s="5" t="s">
        <v>16</v>
      </c>
      <c r="H11" s="5" t="s">
        <v>69</v>
      </c>
      <c r="I11" s="4">
        <v>0</v>
      </c>
      <c r="J11" s="5" t="s">
        <v>58</v>
      </c>
      <c r="K11" s="28">
        <v>1</v>
      </c>
    </row>
  </sheetData>
  <autoFilter ref="A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8" customWidth="1"/>
    <col min="3" max="3" width="12" customWidth="1"/>
    <col min="4" max="4" width="14" customWidth="1"/>
    <col min="5" max="5" width="8" customWidth="1"/>
    <col min="6" max="6" width="12" customWidth="1"/>
    <col min="7" max="7" width="14" customWidth="1"/>
    <col min="8" max="8" width="12" customWidth="1"/>
    <col min="9" max="9" width="14" customWidth="1"/>
    <col min="10" max="10" width="30" customWidth="1"/>
  </cols>
  <sheetData>
    <row r="1" spans="1:10" ht="32" customHeight="1" x14ac:dyDescent="0.35">
      <c r="A1" s="1" t="s">
        <v>70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9</v>
      </c>
    </row>
    <row r="2" spans="1:10" x14ac:dyDescent="0.35">
      <c r="A2" s="2">
        <v>0</v>
      </c>
      <c r="B2" s="2" t="s">
        <v>75</v>
      </c>
      <c r="C2" s="3" t="s">
        <v>76</v>
      </c>
      <c r="D2" s="3" t="s">
        <v>77</v>
      </c>
      <c r="E2" s="2" t="s">
        <v>15</v>
      </c>
      <c r="F2" s="3" t="s">
        <v>26</v>
      </c>
      <c r="G2" s="2">
        <v>3</v>
      </c>
      <c r="H2" s="3" t="s">
        <v>11</v>
      </c>
      <c r="I2" s="2">
        <v>1</v>
      </c>
      <c r="J2" s="3" t="s">
        <v>78</v>
      </c>
    </row>
    <row r="3" spans="1:10" x14ac:dyDescent="0.35">
      <c r="A3" s="4">
        <v>1</v>
      </c>
      <c r="B3" s="4" t="s">
        <v>79</v>
      </c>
      <c r="C3" s="5" t="s">
        <v>80</v>
      </c>
      <c r="D3" s="5" t="s">
        <v>81</v>
      </c>
      <c r="E3" s="4" t="s">
        <v>35</v>
      </c>
      <c r="F3" s="5" t="s">
        <v>42</v>
      </c>
      <c r="G3" s="4">
        <v>6</v>
      </c>
      <c r="H3" s="5" t="s">
        <v>19</v>
      </c>
      <c r="I3" s="4">
        <v>2</v>
      </c>
      <c r="J3" s="5" t="s">
        <v>82</v>
      </c>
    </row>
    <row r="4" spans="1:10" x14ac:dyDescent="0.35">
      <c r="A4" s="2">
        <v>2</v>
      </c>
      <c r="B4" s="2" t="s">
        <v>83</v>
      </c>
      <c r="C4" s="3" t="s">
        <v>84</v>
      </c>
      <c r="D4" s="3" t="s">
        <v>85</v>
      </c>
      <c r="E4" s="2" t="s">
        <v>51</v>
      </c>
      <c r="F4" s="3" t="s">
        <v>31</v>
      </c>
      <c r="G4" s="2">
        <v>4</v>
      </c>
      <c r="H4" s="3"/>
      <c r="I4" s="2"/>
      <c r="J4" s="3" t="s">
        <v>86</v>
      </c>
    </row>
    <row r="5" spans="1:10" x14ac:dyDescent="0.35">
      <c r="A5" s="4">
        <v>3</v>
      </c>
      <c r="B5" s="4" t="s">
        <v>87</v>
      </c>
      <c r="C5" s="5" t="s">
        <v>88</v>
      </c>
      <c r="D5" s="5" t="s">
        <v>89</v>
      </c>
      <c r="E5" s="4" t="s">
        <v>23</v>
      </c>
      <c r="F5" s="5" t="s">
        <v>19</v>
      </c>
      <c r="G5" s="4">
        <v>2</v>
      </c>
      <c r="H5" s="5" t="s">
        <v>37</v>
      </c>
      <c r="I5" s="4">
        <v>5</v>
      </c>
      <c r="J5" s="5" t="s">
        <v>90</v>
      </c>
    </row>
    <row r="6" spans="1:10" x14ac:dyDescent="0.35">
      <c r="A6" s="2">
        <v>4</v>
      </c>
      <c r="B6" s="2" t="s">
        <v>91</v>
      </c>
      <c r="C6" s="3" t="s">
        <v>92</v>
      </c>
      <c r="D6" s="3" t="s">
        <v>93</v>
      </c>
      <c r="E6" s="2" t="s">
        <v>15</v>
      </c>
      <c r="F6" s="3" t="s">
        <v>11</v>
      </c>
      <c r="G6" s="2">
        <v>1</v>
      </c>
      <c r="H6" s="3"/>
      <c r="I6" s="2"/>
      <c r="J6" s="3" t="s">
        <v>94</v>
      </c>
    </row>
    <row r="7" spans="1:10" x14ac:dyDescent="0.35">
      <c r="A7" s="4">
        <v>5</v>
      </c>
      <c r="B7" s="4" t="s">
        <v>95</v>
      </c>
      <c r="C7" s="5" t="s">
        <v>96</v>
      </c>
      <c r="D7" s="5" t="s">
        <v>97</v>
      </c>
      <c r="E7" s="4" t="s">
        <v>35</v>
      </c>
      <c r="F7" s="5" t="s">
        <v>31</v>
      </c>
      <c r="G7" s="4">
        <v>4</v>
      </c>
      <c r="H7" s="5"/>
      <c r="I7" s="4"/>
      <c r="J7" s="5" t="s">
        <v>86</v>
      </c>
    </row>
    <row r="8" spans="1:10" x14ac:dyDescent="0.35">
      <c r="A8" s="2">
        <v>6</v>
      </c>
      <c r="B8" s="2" t="s">
        <v>98</v>
      </c>
      <c r="C8" s="3" t="s">
        <v>99</v>
      </c>
      <c r="D8" s="3" t="s">
        <v>100</v>
      </c>
      <c r="E8" s="2" t="s">
        <v>51</v>
      </c>
      <c r="F8" s="3" t="s">
        <v>42</v>
      </c>
      <c r="G8" s="2">
        <v>6</v>
      </c>
      <c r="H8" s="3" t="s">
        <v>47</v>
      </c>
      <c r="I8" s="2">
        <v>7</v>
      </c>
      <c r="J8" s="3" t="s">
        <v>101</v>
      </c>
    </row>
    <row r="9" spans="1:10" x14ac:dyDescent="0.35">
      <c r="A9" s="4">
        <v>7</v>
      </c>
      <c r="B9" s="4" t="s">
        <v>102</v>
      </c>
      <c r="C9" s="5" t="s">
        <v>103</v>
      </c>
      <c r="D9" s="5" t="s">
        <v>104</v>
      </c>
      <c r="E9" s="4" t="s">
        <v>23</v>
      </c>
      <c r="F9" s="5" t="s">
        <v>26</v>
      </c>
      <c r="G9" s="4">
        <v>3</v>
      </c>
      <c r="H9" s="5"/>
      <c r="I9" s="4"/>
      <c r="J9" s="5" t="s">
        <v>105</v>
      </c>
    </row>
    <row r="10" spans="1:10" x14ac:dyDescent="0.35">
      <c r="A10" s="2">
        <v>8</v>
      </c>
      <c r="B10" s="2" t="s">
        <v>106</v>
      </c>
      <c r="C10" s="3" t="s">
        <v>107</v>
      </c>
      <c r="D10" s="3" t="s">
        <v>108</v>
      </c>
      <c r="E10" s="2" t="s">
        <v>15</v>
      </c>
      <c r="F10" s="3" t="s">
        <v>37</v>
      </c>
      <c r="G10" s="2">
        <v>5</v>
      </c>
      <c r="H10" s="3"/>
      <c r="I10" s="2"/>
      <c r="J10" s="3" t="s">
        <v>109</v>
      </c>
    </row>
    <row r="11" spans="1:10" x14ac:dyDescent="0.35">
      <c r="A11" s="4">
        <v>9</v>
      </c>
      <c r="B11" s="4" t="s">
        <v>110</v>
      </c>
      <c r="C11" s="5" t="s">
        <v>111</v>
      </c>
      <c r="D11" s="5" t="s">
        <v>112</v>
      </c>
      <c r="E11" s="4" t="s">
        <v>35</v>
      </c>
      <c r="F11" s="5" t="s">
        <v>47</v>
      </c>
      <c r="G11" s="4">
        <v>7</v>
      </c>
      <c r="H11" s="5" t="s">
        <v>26</v>
      </c>
      <c r="I11" s="4">
        <v>3</v>
      </c>
      <c r="J11" s="5" t="s">
        <v>113</v>
      </c>
    </row>
    <row r="12" spans="1:10" x14ac:dyDescent="0.35">
      <c r="A12" s="2">
        <v>10</v>
      </c>
      <c r="B12" s="2" t="s">
        <v>114</v>
      </c>
      <c r="C12" s="3" t="s">
        <v>115</v>
      </c>
      <c r="D12" s="3" t="s">
        <v>116</v>
      </c>
      <c r="E12" s="2" t="s">
        <v>51</v>
      </c>
      <c r="F12" s="3" t="s">
        <v>47</v>
      </c>
      <c r="G12" s="2">
        <v>7</v>
      </c>
      <c r="H12" s="3"/>
      <c r="I12" s="2"/>
      <c r="J12" s="3" t="s">
        <v>117</v>
      </c>
    </row>
    <row r="13" spans="1:10" x14ac:dyDescent="0.35">
      <c r="A13" s="4">
        <v>11</v>
      </c>
      <c r="B13" s="4" t="s">
        <v>118</v>
      </c>
      <c r="C13" s="5" t="s">
        <v>119</v>
      </c>
      <c r="D13" s="5" t="s">
        <v>120</v>
      </c>
      <c r="E13" s="4" t="s">
        <v>23</v>
      </c>
      <c r="F13" s="5" t="s">
        <v>37</v>
      </c>
      <c r="G13" s="4">
        <v>5</v>
      </c>
      <c r="H13" s="5" t="s">
        <v>42</v>
      </c>
      <c r="I13" s="4">
        <v>6</v>
      </c>
      <c r="J13" s="5" t="s">
        <v>121</v>
      </c>
    </row>
  </sheetData>
  <autoFilter ref="A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3" width="12" customWidth="1"/>
    <col min="4" max="4" width="16" customWidth="1"/>
    <col min="5" max="5" width="14" customWidth="1"/>
    <col min="6" max="6" width="12" customWidth="1"/>
    <col min="7" max="7" width="25" customWidth="1"/>
    <col min="8" max="8" width="40" customWidth="1"/>
    <col min="9" max="9" width="18" customWidth="1"/>
  </cols>
  <sheetData>
    <row r="1" spans="1:9" ht="32" customHeight="1" x14ac:dyDescent="0.35">
      <c r="A1" s="1" t="s">
        <v>122</v>
      </c>
      <c r="B1" s="1" t="s">
        <v>1</v>
      </c>
      <c r="C1" s="1" t="s">
        <v>2</v>
      </c>
      <c r="D1" s="1" t="s">
        <v>3</v>
      </c>
      <c r="E1" s="1" t="s">
        <v>123</v>
      </c>
      <c r="F1" s="1" t="s">
        <v>124</v>
      </c>
      <c r="G1" s="1" t="s">
        <v>125</v>
      </c>
      <c r="H1" s="1" t="s">
        <v>7</v>
      </c>
      <c r="I1" s="27" t="s">
        <v>126</v>
      </c>
    </row>
    <row r="2" spans="1:9" x14ac:dyDescent="0.35">
      <c r="A2" s="6">
        <v>0</v>
      </c>
      <c r="B2" s="6" t="s">
        <v>127</v>
      </c>
      <c r="C2" s="7" t="s">
        <v>128</v>
      </c>
      <c r="D2" s="7" t="s">
        <v>129</v>
      </c>
      <c r="E2" s="6" t="s">
        <v>130</v>
      </c>
      <c r="F2" s="6" t="s">
        <v>131</v>
      </c>
      <c r="G2" s="7" t="s">
        <v>132</v>
      </c>
      <c r="H2" s="7" t="s">
        <v>133</v>
      </c>
      <c r="I2" s="28">
        <v>1</v>
      </c>
    </row>
    <row r="3" spans="1:9" x14ac:dyDescent="0.35">
      <c r="A3" s="8">
        <v>1</v>
      </c>
      <c r="B3" s="8" t="s">
        <v>134</v>
      </c>
      <c r="C3" s="9" t="s">
        <v>135</v>
      </c>
      <c r="D3" s="9" t="s">
        <v>136</v>
      </c>
      <c r="E3" s="8" t="s">
        <v>137</v>
      </c>
      <c r="F3" s="8" t="s">
        <v>138</v>
      </c>
      <c r="G3" s="9" t="s">
        <v>139</v>
      </c>
      <c r="H3" s="9" t="s">
        <v>140</v>
      </c>
      <c r="I3" s="28">
        <v>0.7</v>
      </c>
    </row>
    <row r="4" spans="1:9" x14ac:dyDescent="0.35">
      <c r="A4" s="10">
        <v>2</v>
      </c>
      <c r="B4" s="10" t="s">
        <v>141</v>
      </c>
      <c r="C4" s="11" t="s">
        <v>142</v>
      </c>
      <c r="D4" s="11" t="s">
        <v>143</v>
      </c>
      <c r="E4" s="10" t="s">
        <v>144</v>
      </c>
      <c r="F4" s="10" t="s">
        <v>145</v>
      </c>
      <c r="G4" s="11" t="s">
        <v>146</v>
      </c>
      <c r="H4" s="11" t="s">
        <v>147</v>
      </c>
      <c r="I4" s="28">
        <v>0.5</v>
      </c>
    </row>
    <row r="5" spans="1:9" x14ac:dyDescent="0.35">
      <c r="A5" s="8">
        <v>3</v>
      </c>
      <c r="B5" s="8" t="s">
        <v>148</v>
      </c>
      <c r="C5" s="9" t="s">
        <v>149</v>
      </c>
      <c r="D5" s="9" t="s">
        <v>150</v>
      </c>
      <c r="E5" s="8" t="s">
        <v>137</v>
      </c>
      <c r="F5" s="8" t="s">
        <v>138</v>
      </c>
      <c r="G5" s="9" t="s">
        <v>151</v>
      </c>
      <c r="H5" s="9" t="s">
        <v>152</v>
      </c>
      <c r="I5" s="28">
        <v>0.5</v>
      </c>
    </row>
    <row r="6" spans="1:9" x14ac:dyDescent="0.35">
      <c r="A6" s="6">
        <v>4</v>
      </c>
      <c r="B6" s="6" t="s">
        <v>153</v>
      </c>
      <c r="C6" s="7" t="s">
        <v>154</v>
      </c>
      <c r="D6" s="7" t="s">
        <v>155</v>
      </c>
      <c r="E6" s="6" t="s">
        <v>130</v>
      </c>
      <c r="F6" s="6" t="s">
        <v>131</v>
      </c>
      <c r="G6" s="7" t="s">
        <v>156</v>
      </c>
      <c r="H6" s="7" t="s">
        <v>157</v>
      </c>
      <c r="I6" s="28">
        <v>0.5</v>
      </c>
    </row>
    <row r="7" spans="1:9" x14ac:dyDescent="0.35">
      <c r="A7" s="12">
        <v>5</v>
      </c>
      <c r="B7" s="12" t="s">
        <v>158</v>
      </c>
      <c r="C7" s="13" t="s">
        <v>159</v>
      </c>
      <c r="D7" s="13" t="s">
        <v>160</v>
      </c>
      <c r="E7" s="12" t="s">
        <v>161</v>
      </c>
      <c r="F7" s="12" t="s">
        <v>162</v>
      </c>
      <c r="G7" s="13" t="s">
        <v>163</v>
      </c>
      <c r="H7" s="13" t="s">
        <v>164</v>
      </c>
      <c r="I7" s="28">
        <v>0.2</v>
      </c>
    </row>
    <row r="8" spans="1:9" x14ac:dyDescent="0.35">
      <c r="A8" s="8">
        <v>6</v>
      </c>
      <c r="B8" s="8" t="s">
        <v>165</v>
      </c>
      <c r="C8" s="9" t="s">
        <v>166</v>
      </c>
      <c r="D8" s="9" t="s">
        <v>167</v>
      </c>
      <c r="E8" s="8" t="s">
        <v>168</v>
      </c>
      <c r="F8" s="8" t="s">
        <v>138</v>
      </c>
      <c r="G8" s="9" t="s">
        <v>169</v>
      </c>
      <c r="H8" s="9" t="s">
        <v>170</v>
      </c>
      <c r="I8" s="28">
        <v>0.8</v>
      </c>
    </row>
    <row r="9" spans="1:9" x14ac:dyDescent="0.35">
      <c r="A9" s="14">
        <v>7</v>
      </c>
      <c r="B9" s="14" t="s">
        <v>171</v>
      </c>
      <c r="C9" s="15" t="s">
        <v>172</v>
      </c>
      <c r="D9" s="15" t="s">
        <v>173</v>
      </c>
      <c r="E9" s="14" t="s">
        <v>161</v>
      </c>
      <c r="F9" s="14" t="s">
        <v>174</v>
      </c>
      <c r="G9" s="15" t="s">
        <v>175</v>
      </c>
      <c r="H9" s="15" t="s">
        <v>176</v>
      </c>
      <c r="I9" s="28">
        <v>0.2</v>
      </c>
    </row>
    <row r="10" spans="1:9" x14ac:dyDescent="0.35">
      <c r="A10" s="6">
        <v>8</v>
      </c>
      <c r="B10" s="6" t="s">
        <v>177</v>
      </c>
      <c r="C10" s="7" t="s">
        <v>178</v>
      </c>
      <c r="D10" s="7" t="s">
        <v>179</v>
      </c>
      <c r="E10" s="6" t="s">
        <v>130</v>
      </c>
      <c r="F10" s="6" t="s">
        <v>131</v>
      </c>
      <c r="G10" s="7" t="s">
        <v>180</v>
      </c>
      <c r="H10" s="7" t="s">
        <v>181</v>
      </c>
      <c r="I10" s="28">
        <v>0.5</v>
      </c>
    </row>
    <row r="11" spans="1:9" x14ac:dyDescent="0.35">
      <c r="A11" s="6">
        <v>9</v>
      </c>
      <c r="B11" s="6" t="s">
        <v>182</v>
      </c>
      <c r="C11" s="7" t="s">
        <v>183</v>
      </c>
      <c r="D11" s="7" t="s">
        <v>184</v>
      </c>
      <c r="E11" s="6" t="s">
        <v>168</v>
      </c>
      <c r="F11" s="6" t="s">
        <v>131</v>
      </c>
      <c r="G11" s="7" t="s">
        <v>185</v>
      </c>
      <c r="H11" s="7" t="s">
        <v>186</v>
      </c>
      <c r="I11" s="28">
        <v>0.5</v>
      </c>
    </row>
    <row r="12" spans="1:9" x14ac:dyDescent="0.35">
      <c r="A12" s="8">
        <v>10</v>
      </c>
      <c r="B12" s="8" t="s">
        <v>187</v>
      </c>
      <c r="C12" s="9" t="s">
        <v>188</v>
      </c>
      <c r="D12" s="9" t="s">
        <v>189</v>
      </c>
      <c r="E12" s="8" t="s">
        <v>144</v>
      </c>
      <c r="F12" s="8" t="s">
        <v>138</v>
      </c>
      <c r="G12" s="9" t="s">
        <v>190</v>
      </c>
      <c r="H12" s="9" t="s">
        <v>191</v>
      </c>
      <c r="I12" s="28">
        <v>0.5</v>
      </c>
    </row>
    <row r="13" spans="1:9" x14ac:dyDescent="0.35">
      <c r="A13" s="12">
        <v>11</v>
      </c>
      <c r="B13" s="12" t="s">
        <v>192</v>
      </c>
      <c r="C13" s="13" t="s">
        <v>193</v>
      </c>
      <c r="D13" s="13" t="s">
        <v>194</v>
      </c>
      <c r="E13" s="12" t="s">
        <v>161</v>
      </c>
      <c r="F13" s="12" t="s">
        <v>162</v>
      </c>
      <c r="G13" s="13" t="s">
        <v>195</v>
      </c>
      <c r="H13" s="13" t="s">
        <v>196</v>
      </c>
      <c r="I13" s="28">
        <v>0.2</v>
      </c>
    </row>
  </sheetData>
  <autoFilter ref="A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3" width="14" customWidth="1"/>
    <col min="4" max="4" width="16" customWidth="1"/>
    <col min="5" max="5" width="8" customWidth="1"/>
    <col min="6" max="6" width="20" customWidth="1"/>
    <col min="7" max="7" width="40" customWidth="1"/>
    <col min="8" max="8" width="35" customWidth="1"/>
  </cols>
  <sheetData>
    <row r="1" spans="1:8" ht="32" customHeight="1" x14ac:dyDescent="0.35">
      <c r="A1" s="1" t="s">
        <v>197</v>
      </c>
      <c r="B1" s="1" t="s">
        <v>1</v>
      </c>
      <c r="C1" s="1" t="s">
        <v>2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</row>
    <row r="2" spans="1:8" x14ac:dyDescent="0.35">
      <c r="A2" s="6">
        <v>1</v>
      </c>
      <c r="B2" s="6" t="s">
        <v>203</v>
      </c>
      <c r="C2" s="7" t="s">
        <v>204</v>
      </c>
      <c r="D2" s="6" t="s">
        <v>131</v>
      </c>
      <c r="E2" s="6">
        <v>5</v>
      </c>
      <c r="F2" s="7" t="s">
        <v>204</v>
      </c>
      <c r="G2" s="7" t="s">
        <v>205</v>
      </c>
      <c r="H2" s="7" t="s">
        <v>206</v>
      </c>
    </row>
    <row r="3" spans="1:8" x14ac:dyDescent="0.35">
      <c r="A3" s="6">
        <v>2</v>
      </c>
      <c r="B3" s="6" t="s">
        <v>207</v>
      </c>
      <c r="C3" s="7" t="s">
        <v>208</v>
      </c>
      <c r="D3" s="6" t="s">
        <v>131</v>
      </c>
      <c r="E3" s="6">
        <v>4</v>
      </c>
      <c r="F3" s="7" t="s">
        <v>208</v>
      </c>
      <c r="G3" s="7" t="s">
        <v>209</v>
      </c>
      <c r="H3" s="7" t="s">
        <v>210</v>
      </c>
    </row>
    <row r="4" spans="1:8" x14ac:dyDescent="0.35">
      <c r="A4" s="6">
        <v>3</v>
      </c>
      <c r="B4" s="6" t="s">
        <v>211</v>
      </c>
      <c r="C4" s="7" t="s">
        <v>212</v>
      </c>
      <c r="D4" s="6" t="s">
        <v>213</v>
      </c>
      <c r="E4" s="6">
        <v>4</v>
      </c>
      <c r="F4" s="7" t="s">
        <v>212</v>
      </c>
      <c r="G4" s="7" t="s">
        <v>214</v>
      </c>
      <c r="H4" s="7" t="s">
        <v>215</v>
      </c>
    </row>
    <row r="5" spans="1:8" x14ac:dyDescent="0.35">
      <c r="A5" s="8">
        <v>4</v>
      </c>
      <c r="B5" s="8" t="s">
        <v>216</v>
      </c>
      <c r="C5" s="9" t="s">
        <v>217</v>
      </c>
      <c r="D5" s="8" t="s">
        <v>138</v>
      </c>
      <c r="E5" s="8">
        <v>3</v>
      </c>
      <c r="F5" s="9" t="s">
        <v>217</v>
      </c>
      <c r="G5" s="9" t="s">
        <v>218</v>
      </c>
      <c r="H5" s="9" t="s">
        <v>219</v>
      </c>
    </row>
    <row r="6" spans="1:8" x14ac:dyDescent="0.35">
      <c r="A6" s="10">
        <v>5</v>
      </c>
      <c r="B6" s="10" t="s">
        <v>220</v>
      </c>
      <c r="C6" s="11" t="s">
        <v>221</v>
      </c>
      <c r="D6" s="10" t="s">
        <v>222</v>
      </c>
      <c r="E6" s="10">
        <v>3</v>
      </c>
      <c r="F6" s="11" t="s">
        <v>221</v>
      </c>
      <c r="G6" s="11" t="s">
        <v>223</v>
      </c>
      <c r="H6" s="11" t="s">
        <v>224</v>
      </c>
    </row>
    <row r="7" spans="1:8" x14ac:dyDescent="0.35">
      <c r="A7" s="10">
        <v>6</v>
      </c>
      <c r="B7" s="10" t="s">
        <v>225</v>
      </c>
      <c r="C7" s="11" t="s">
        <v>226</v>
      </c>
      <c r="D7" s="10" t="s">
        <v>222</v>
      </c>
      <c r="E7" s="10">
        <v>3</v>
      </c>
      <c r="F7" s="11" t="s">
        <v>226</v>
      </c>
      <c r="G7" s="11" t="s">
        <v>227</v>
      </c>
      <c r="H7" s="11" t="s">
        <v>224</v>
      </c>
    </row>
    <row r="8" spans="1:8" x14ac:dyDescent="0.35">
      <c r="A8" s="10">
        <v>7</v>
      </c>
      <c r="B8" s="10" t="s">
        <v>228</v>
      </c>
      <c r="C8" s="11" t="s">
        <v>229</v>
      </c>
      <c r="D8" s="10" t="s">
        <v>222</v>
      </c>
      <c r="E8" s="10">
        <v>2</v>
      </c>
      <c r="F8" s="11" t="s">
        <v>229</v>
      </c>
      <c r="G8" s="11" t="s">
        <v>230</v>
      </c>
      <c r="H8" s="11" t="s">
        <v>231</v>
      </c>
    </row>
    <row r="9" spans="1:8" x14ac:dyDescent="0.35">
      <c r="A9" s="10">
        <v>8</v>
      </c>
      <c r="B9" s="10" t="s">
        <v>232</v>
      </c>
      <c r="C9" s="11" t="s">
        <v>233</v>
      </c>
      <c r="D9" s="10" t="s">
        <v>222</v>
      </c>
      <c r="E9" s="10">
        <v>2</v>
      </c>
      <c r="F9" s="11" t="s">
        <v>233</v>
      </c>
      <c r="G9" s="11" t="s">
        <v>234</v>
      </c>
      <c r="H9" s="11" t="s">
        <v>235</v>
      </c>
    </row>
    <row r="10" spans="1:8" x14ac:dyDescent="0.35">
      <c r="A10" s="16">
        <v>9</v>
      </c>
      <c r="B10" s="16" t="s">
        <v>236</v>
      </c>
      <c r="C10" s="17" t="s">
        <v>237</v>
      </c>
      <c r="D10" s="16" t="s">
        <v>145</v>
      </c>
      <c r="E10" s="16">
        <v>0</v>
      </c>
      <c r="F10" s="17" t="s">
        <v>238</v>
      </c>
      <c r="G10" s="17" t="s">
        <v>239</v>
      </c>
      <c r="H10" s="17" t="s">
        <v>240</v>
      </c>
    </row>
    <row r="11" spans="1:8" x14ac:dyDescent="0.35">
      <c r="A11" s="12">
        <v>10</v>
      </c>
      <c r="B11" s="12" t="s">
        <v>241</v>
      </c>
      <c r="C11" s="13" t="s">
        <v>242</v>
      </c>
      <c r="D11" s="12" t="s">
        <v>162</v>
      </c>
      <c r="E11" s="12">
        <v>-3</v>
      </c>
      <c r="F11" s="13" t="s">
        <v>243</v>
      </c>
      <c r="G11" s="13" t="s">
        <v>244</v>
      </c>
      <c r="H11" s="13" t="s">
        <v>245</v>
      </c>
    </row>
    <row r="12" spans="1:8" x14ac:dyDescent="0.35">
      <c r="A12" s="12">
        <v>11</v>
      </c>
      <c r="B12" s="12" t="s">
        <v>246</v>
      </c>
      <c r="C12" s="13" t="s">
        <v>247</v>
      </c>
      <c r="D12" s="12" t="s">
        <v>162</v>
      </c>
      <c r="E12" s="12">
        <v>-5</v>
      </c>
      <c r="F12" s="13" t="s">
        <v>247</v>
      </c>
      <c r="G12" s="13" t="s">
        <v>248</v>
      </c>
      <c r="H12" s="13" t="s">
        <v>249</v>
      </c>
    </row>
  </sheetData>
  <autoFilter ref="A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8" customWidth="1"/>
    <col min="3" max="3" width="12" customWidth="1"/>
    <col min="4" max="4" width="16" customWidth="1"/>
    <col min="5" max="6" width="14" customWidth="1"/>
    <col min="7" max="7" width="45" customWidth="1"/>
    <col min="8" max="8" width="18" customWidth="1"/>
  </cols>
  <sheetData>
    <row r="1" spans="1:8" ht="32" customHeight="1" x14ac:dyDescent="0.35">
      <c r="A1" s="1" t="s">
        <v>250</v>
      </c>
      <c r="B1" s="1" t="s">
        <v>1</v>
      </c>
      <c r="C1" s="1" t="s">
        <v>2</v>
      </c>
      <c r="D1" s="1" t="s">
        <v>3</v>
      </c>
      <c r="E1" s="1" t="s">
        <v>251</v>
      </c>
      <c r="F1" s="1" t="s">
        <v>252</v>
      </c>
      <c r="G1" s="1" t="s">
        <v>201</v>
      </c>
      <c r="H1" s="27" t="s">
        <v>253</v>
      </c>
    </row>
    <row r="2" spans="1:8" x14ac:dyDescent="0.35">
      <c r="A2" s="2">
        <v>0</v>
      </c>
      <c r="B2" s="2" t="s">
        <v>254</v>
      </c>
      <c r="C2" s="3" t="s">
        <v>255</v>
      </c>
      <c r="D2" s="3" t="s">
        <v>256</v>
      </c>
      <c r="E2" s="2" t="s">
        <v>63</v>
      </c>
      <c r="F2" s="2">
        <v>0</v>
      </c>
      <c r="G2" s="3" t="s">
        <v>257</v>
      </c>
      <c r="H2" s="28">
        <v>0.3</v>
      </c>
    </row>
    <row r="3" spans="1:8" x14ac:dyDescent="0.35">
      <c r="A3" s="4">
        <v>1</v>
      </c>
      <c r="B3" s="4" t="s">
        <v>258</v>
      </c>
      <c r="C3" s="5" t="s">
        <v>259</v>
      </c>
      <c r="D3" s="5" t="s">
        <v>260</v>
      </c>
      <c r="E3" s="4" t="s">
        <v>261</v>
      </c>
      <c r="F3" s="4">
        <v>100</v>
      </c>
      <c r="G3" s="5" t="s">
        <v>262</v>
      </c>
      <c r="H3" s="28">
        <v>0</v>
      </c>
    </row>
    <row r="4" spans="1:8" x14ac:dyDescent="0.35">
      <c r="A4" s="2">
        <v>2</v>
      </c>
      <c r="B4" s="2" t="s">
        <v>263</v>
      </c>
      <c r="C4" s="3" t="s">
        <v>264</v>
      </c>
      <c r="D4" s="3" t="s">
        <v>265</v>
      </c>
      <c r="E4" s="2" t="s">
        <v>266</v>
      </c>
      <c r="F4" s="2">
        <v>80</v>
      </c>
      <c r="G4" s="3" t="s">
        <v>267</v>
      </c>
      <c r="H4" s="28">
        <v>0</v>
      </c>
    </row>
    <row r="5" spans="1:8" x14ac:dyDescent="0.35">
      <c r="A5" s="4">
        <v>3</v>
      </c>
      <c r="B5" s="4" t="s">
        <v>268</v>
      </c>
      <c r="C5" s="5" t="s">
        <v>269</v>
      </c>
      <c r="D5" s="5" t="s">
        <v>270</v>
      </c>
      <c r="E5" s="4" t="s">
        <v>271</v>
      </c>
      <c r="F5" s="4">
        <v>60</v>
      </c>
      <c r="G5" s="5" t="s">
        <v>272</v>
      </c>
      <c r="H5" s="28">
        <v>0</v>
      </c>
    </row>
    <row r="6" spans="1:8" x14ac:dyDescent="0.35">
      <c r="A6" s="2">
        <v>4</v>
      </c>
      <c r="B6" s="2" t="s">
        <v>273</v>
      </c>
      <c r="C6" s="3" t="s">
        <v>130</v>
      </c>
      <c r="D6" s="3" t="s">
        <v>274</v>
      </c>
      <c r="E6" s="2" t="s">
        <v>275</v>
      </c>
      <c r="F6" s="2">
        <v>50</v>
      </c>
      <c r="G6" s="3" t="s">
        <v>276</v>
      </c>
      <c r="H6" s="28">
        <v>0</v>
      </c>
    </row>
  </sheetData>
  <autoFilter ref="A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workbookViewId="0"/>
  </sheetViews>
  <sheetFormatPr defaultRowHeight="14.5" x14ac:dyDescent="0.35"/>
  <cols>
    <col min="1" max="5" width="20" customWidth="1"/>
  </cols>
  <sheetData>
    <row r="1" spans="1:5" x14ac:dyDescent="0.35">
      <c r="A1" s="29" t="s">
        <v>277</v>
      </c>
      <c r="B1" s="29" t="s">
        <v>1</v>
      </c>
      <c r="C1" s="29" t="s">
        <v>2</v>
      </c>
      <c r="D1" s="29" t="s">
        <v>3</v>
      </c>
      <c r="E1" s="29" t="s">
        <v>201</v>
      </c>
    </row>
    <row r="2" spans="1:5" x14ac:dyDescent="0.35">
      <c r="A2" s="28">
        <v>1</v>
      </c>
      <c r="B2" s="28" t="s">
        <v>278</v>
      </c>
      <c r="C2" s="28" t="s">
        <v>279</v>
      </c>
      <c r="D2" s="28" t="s">
        <v>280</v>
      </c>
      <c r="E2" s="28" t="s">
        <v>281</v>
      </c>
    </row>
    <row r="3" spans="1:5" x14ac:dyDescent="0.35">
      <c r="A3" s="28">
        <v>2</v>
      </c>
      <c r="B3" s="28" t="s">
        <v>282</v>
      </c>
      <c r="C3" s="28" t="s">
        <v>283</v>
      </c>
      <c r="D3" s="28" t="s">
        <v>284</v>
      </c>
      <c r="E3" s="28" t="s">
        <v>285</v>
      </c>
    </row>
    <row r="4" spans="1:5" x14ac:dyDescent="0.35">
      <c r="A4" s="28">
        <v>3</v>
      </c>
      <c r="B4" s="28" t="s">
        <v>286</v>
      </c>
      <c r="C4" s="28" t="s">
        <v>287</v>
      </c>
      <c r="D4" s="28" t="s">
        <v>288</v>
      </c>
      <c r="E4" s="28" t="s">
        <v>289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4" customWidth="1"/>
    <col min="3" max="3" width="18" customWidth="1"/>
    <col min="4" max="4" width="20" customWidth="1"/>
    <col min="5" max="5" width="30" customWidth="1"/>
    <col min="6" max="6" width="40" customWidth="1"/>
  </cols>
  <sheetData>
    <row r="1" spans="1:6" ht="32" customHeight="1" x14ac:dyDescent="0.35">
      <c r="A1" s="1" t="s">
        <v>290</v>
      </c>
      <c r="B1" s="1" t="s">
        <v>1</v>
      </c>
      <c r="C1" s="1" t="s">
        <v>291</v>
      </c>
      <c r="D1" s="1" t="s">
        <v>2</v>
      </c>
      <c r="E1" s="1" t="s">
        <v>292</v>
      </c>
      <c r="F1" s="1" t="s">
        <v>7</v>
      </c>
    </row>
    <row r="2" spans="1:6" x14ac:dyDescent="0.35">
      <c r="A2" s="2">
        <v>1</v>
      </c>
      <c r="B2" s="2" t="s">
        <v>293</v>
      </c>
      <c r="C2" s="3" t="s">
        <v>294</v>
      </c>
      <c r="D2" s="3" t="s">
        <v>295</v>
      </c>
      <c r="E2" s="3" t="s">
        <v>296</v>
      </c>
      <c r="F2" s="3" t="s">
        <v>297</v>
      </c>
    </row>
    <row r="3" spans="1:6" x14ac:dyDescent="0.35">
      <c r="A3" s="4">
        <v>2</v>
      </c>
      <c r="B3" s="4" t="s">
        <v>298</v>
      </c>
      <c r="C3" s="5" t="s">
        <v>299</v>
      </c>
      <c r="D3" s="5" t="s">
        <v>300</v>
      </c>
      <c r="E3" s="5" t="s">
        <v>301</v>
      </c>
      <c r="F3" s="5" t="s">
        <v>302</v>
      </c>
    </row>
    <row r="4" spans="1:6" x14ac:dyDescent="0.35">
      <c r="A4" s="2">
        <v>3</v>
      </c>
      <c r="B4" s="2" t="s">
        <v>303</v>
      </c>
      <c r="C4" s="3" t="s">
        <v>304</v>
      </c>
      <c r="D4" s="3" t="s">
        <v>305</v>
      </c>
      <c r="E4" s="3" t="s">
        <v>306</v>
      </c>
      <c r="F4" s="3" t="s">
        <v>307</v>
      </c>
    </row>
    <row r="5" spans="1:6" x14ac:dyDescent="0.35">
      <c r="A5" s="4">
        <v>4</v>
      </c>
      <c r="B5" s="4" t="s">
        <v>308</v>
      </c>
      <c r="C5" s="5" t="s">
        <v>309</v>
      </c>
      <c r="D5" s="5" t="s">
        <v>310</v>
      </c>
      <c r="E5" s="5" t="s">
        <v>311</v>
      </c>
      <c r="F5" s="5" t="s">
        <v>312</v>
      </c>
    </row>
    <row r="6" spans="1:6" x14ac:dyDescent="0.35">
      <c r="A6" s="2">
        <v>5</v>
      </c>
      <c r="B6" s="2" t="s">
        <v>313</v>
      </c>
      <c r="C6" s="3" t="s">
        <v>314</v>
      </c>
      <c r="D6" s="3" t="s">
        <v>315</v>
      </c>
      <c r="E6" s="3" t="s">
        <v>316</v>
      </c>
      <c r="F6" s="3" t="s">
        <v>317</v>
      </c>
    </row>
    <row r="7" spans="1:6" x14ac:dyDescent="0.35">
      <c r="A7" s="4">
        <v>6</v>
      </c>
      <c r="B7" s="4" t="s">
        <v>318</v>
      </c>
      <c r="C7" s="5" t="s">
        <v>319</v>
      </c>
      <c r="D7" s="5" t="s">
        <v>320</v>
      </c>
      <c r="E7" s="5" t="s">
        <v>321</v>
      </c>
      <c r="F7" s="5" t="s">
        <v>322</v>
      </c>
    </row>
    <row r="8" spans="1:6" x14ac:dyDescent="0.35">
      <c r="A8" s="2">
        <v>7</v>
      </c>
      <c r="B8" s="2" t="s">
        <v>323</v>
      </c>
      <c r="C8" s="3" t="s">
        <v>324</v>
      </c>
      <c r="D8" s="3" t="s">
        <v>325</v>
      </c>
      <c r="E8" s="3" t="s">
        <v>326</v>
      </c>
      <c r="F8" s="3" t="s">
        <v>327</v>
      </c>
    </row>
    <row r="9" spans="1:6" x14ac:dyDescent="0.35">
      <c r="A9" s="4">
        <v>8</v>
      </c>
      <c r="B9" s="4" t="s">
        <v>328</v>
      </c>
      <c r="C9" s="5" t="s">
        <v>329</v>
      </c>
      <c r="D9" s="5" t="s">
        <v>330</v>
      </c>
      <c r="E9" s="5" t="s">
        <v>331</v>
      </c>
      <c r="F9" s="5" t="s">
        <v>332</v>
      </c>
    </row>
    <row r="10" spans="1:6" x14ac:dyDescent="0.35">
      <c r="A10" s="2">
        <v>9</v>
      </c>
      <c r="B10" s="2" t="s">
        <v>333</v>
      </c>
      <c r="C10" s="3" t="s">
        <v>334</v>
      </c>
      <c r="D10" s="3" t="s">
        <v>335</v>
      </c>
      <c r="E10" s="3" t="s">
        <v>336</v>
      </c>
      <c r="F10" s="3" t="s">
        <v>337</v>
      </c>
    </row>
    <row r="11" spans="1:6" x14ac:dyDescent="0.35">
      <c r="A11" s="4">
        <v>10</v>
      </c>
      <c r="B11" s="4" t="s">
        <v>338</v>
      </c>
      <c r="C11" s="5" t="s">
        <v>339</v>
      </c>
      <c r="D11" s="5" t="s">
        <v>340</v>
      </c>
      <c r="E11" s="5" t="s">
        <v>341</v>
      </c>
      <c r="F11" s="5" t="s">
        <v>342</v>
      </c>
    </row>
  </sheetData>
  <autoFilter ref="A2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12" customWidth="1"/>
    <col min="3" max="3" width="14" customWidth="1"/>
    <col min="4" max="5" width="12" customWidth="1"/>
    <col min="6" max="6" width="8" customWidth="1"/>
    <col min="7" max="7" width="12" customWidth="1"/>
    <col min="8" max="8" width="8" customWidth="1"/>
    <col min="9" max="9" width="20" customWidth="1"/>
    <col min="10" max="10" width="16" customWidth="1"/>
    <col min="11" max="11" width="30" customWidth="1"/>
  </cols>
  <sheetData>
    <row r="1" spans="1:11" ht="32" customHeight="1" x14ac:dyDescent="0.35">
      <c r="A1" s="1" t="s">
        <v>343</v>
      </c>
      <c r="B1" s="1" t="s">
        <v>344</v>
      </c>
      <c r="C1" s="1" t="s">
        <v>1</v>
      </c>
      <c r="D1" s="1" t="s">
        <v>2</v>
      </c>
      <c r="E1" s="1" t="s">
        <v>345</v>
      </c>
      <c r="F1" s="1" t="s">
        <v>346</v>
      </c>
      <c r="G1" s="1" t="s">
        <v>347</v>
      </c>
      <c r="H1" s="1" t="s">
        <v>348</v>
      </c>
      <c r="I1" s="1" t="s">
        <v>349</v>
      </c>
      <c r="J1" s="1" t="s">
        <v>350</v>
      </c>
      <c r="K1" s="1" t="s">
        <v>9</v>
      </c>
    </row>
    <row r="2" spans="1:11" x14ac:dyDescent="0.35">
      <c r="A2" s="6">
        <v>1</v>
      </c>
      <c r="B2" s="7" t="s">
        <v>351</v>
      </c>
      <c r="C2" s="7" t="s">
        <v>352</v>
      </c>
      <c r="D2" s="7" t="s">
        <v>353</v>
      </c>
      <c r="E2" s="6">
        <v>1</v>
      </c>
      <c r="F2" s="6" t="s">
        <v>11</v>
      </c>
      <c r="G2" s="6">
        <v>5</v>
      </c>
      <c r="H2" s="6" t="s">
        <v>37</v>
      </c>
      <c r="I2" s="7" t="s">
        <v>354</v>
      </c>
      <c r="J2" s="6" t="s">
        <v>355</v>
      </c>
      <c r="K2" s="7"/>
    </row>
    <row r="3" spans="1:11" x14ac:dyDescent="0.35">
      <c r="A3" s="6">
        <v>2</v>
      </c>
      <c r="B3" s="7" t="s">
        <v>351</v>
      </c>
      <c r="C3" s="7" t="s">
        <v>356</v>
      </c>
      <c r="D3" s="7" t="s">
        <v>357</v>
      </c>
      <c r="E3" s="6">
        <v>2</v>
      </c>
      <c r="F3" s="6" t="s">
        <v>19</v>
      </c>
      <c r="G3" s="6">
        <v>4</v>
      </c>
      <c r="H3" s="6" t="s">
        <v>31</v>
      </c>
      <c r="I3" s="7" t="s">
        <v>354</v>
      </c>
      <c r="J3" s="6" t="s">
        <v>355</v>
      </c>
      <c r="K3" s="7"/>
    </row>
    <row r="4" spans="1:11" x14ac:dyDescent="0.35">
      <c r="A4" s="6">
        <v>3</v>
      </c>
      <c r="B4" s="7" t="s">
        <v>351</v>
      </c>
      <c r="C4" s="7" t="s">
        <v>358</v>
      </c>
      <c r="D4" s="7" t="s">
        <v>359</v>
      </c>
      <c r="E4" s="6">
        <v>3</v>
      </c>
      <c r="F4" s="6" t="s">
        <v>26</v>
      </c>
      <c r="G4" s="6">
        <v>6</v>
      </c>
      <c r="H4" s="6" t="s">
        <v>42</v>
      </c>
      <c r="I4" s="7" t="s">
        <v>354</v>
      </c>
      <c r="J4" s="6" t="s">
        <v>355</v>
      </c>
      <c r="K4" s="7"/>
    </row>
    <row r="5" spans="1:11" x14ac:dyDescent="0.35">
      <c r="A5" s="6">
        <v>4</v>
      </c>
      <c r="B5" s="7" t="s">
        <v>351</v>
      </c>
      <c r="C5" s="7" t="s">
        <v>360</v>
      </c>
      <c r="D5" s="7" t="s">
        <v>361</v>
      </c>
      <c r="E5" s="6">
        <v>7</v>
      </c>
      <c r="F5" s="6" t="s">
        <v>47</v>
      </c>
      <c r="G5" s="6">
        <v>8</v>
      </c>
      <c r="H5" s="6" t="s">
        <v>53</v>
      </c>
      <c r="I5" s="7" t="s">
        <v>354</v>
      </c>
      <c r="J5" s="6" t="s">
        <v>355</v>
      </c>
      <c r="K5" s="7" t="s">
        <v>362</v>
      </c>
    </row>
    <row r="6" spans="1:11" x14ac:dyDescent="0.35">
      <c r="A6" s="18">
        <v>5</v>
      </c>
      <c r="B6" s="19" t="s">
        <v>363</v>
      </c>
      <c r="C6" s="19" t="s">
        <v>364</v>
      </c>
      <c r="D6" s="19" t="s">
        <v>365</v>
      </c>
      <c r="E6" s="18">
        <v>1</v>
      </c>
      <c r="F6" s="18" t="s">
        <v>11</v>
      </c>
      <c r="G6" s="18">
        <v>7</v>
      </c>
      <c r="H6" s="18" t="s">
        <v>47</v>
      </c>
      <c r="I6" s="19" t="s">
        <v>366</v>
      </c>
      <c r="J6" s="18" t="s">
        <v>355</v>
      </c>
      <c r="K6" s="19" t="s">
        <v>367</v>
      </c>
    </row>
    <row r="7" spans="1:11" x14ac:dyDescent="0.35">
      <c r="A7" s="18">
        <v>6</v>
      </c>
      <c r="B7" s="19" t="s">
        <v>363</v>
      </c>
      <c r="C7" s="19" t="s">
        <v>368</v>
      </c>
      <c r="D7" s="19" t="s">
        <v>369</v>
      </c>
      <c r="E7" s="18">
        <v>2</v>
      </c>
      <c r="F7" s="18" t="s">
        <v>19</v>
      </c>
      <c r="G7" s="18">
        <v>5</v>
      </c>
      <c r="H7" s="18" t="s">
        <v>37</v>
      </c>
      <c r="I7" s="19" t="s">
        <v>366</v>
      </c>
      <c r="J7" s="18" t="s">
        <v>355</v>
      </c>
      <c r="K7" s="19" t="s">
        <v>370</v>
      </c>
    </row>
    <row r="8" spans="1:11" x14ac:dyDescent="0.35">
      <c r="A8" s="18">
        <v>7</v>
      </c>
      <c r="B8" s="19" t="s">
        <v>363</v>
      </c>
      <c r="C8" s="19" t="s">
        <v>371</v>
      </c>
      <c r="D8" s="19" t="s">
        <v>372</v>
      </c>
      <c r="E8" s="18">
        <v>3</v>
      </c>
      <c r="F8" s="18" t="s">
        <v>26</v>
      </c>
      <c r="G8" s="18">
        <v>8</v>
      </c>
      <c r="H8" s="18" t="s">
        <v>53</v>
      </c>
      <c r="I8" s="19" t="s">
        <v>366</v>
      </c>
      <c r="J8" s="18" t="s">
        <v>355</v>
      </c>
      <c r="K8" s="19" t="s">
        <v>367</v>
      </c>
    </row>
    <row r="9" spans="1:11" x14ac:dyDescent="0.35">
      <c r="A9" s="18">
        <v>8</v>
      </c>
      <c r="B9" s="19" t="s">
        <v>363</v>
      </c>
      <c r="C9" s="19" t="s">
        <v>373</v>
      </c>
      <c r="D9" s="19" t="s">
        <v>374</v>
      </c>
      <c r="E9" s="18">
        <v>4</v>
      </c>
      <c r="F9" s="18" t="s">
        <v>31</v>
      </c>
      <c r="G9" s="18">
        <v>6</v>
      </c>
      <c r="H9" s="18" t="s">
        <v>42</v>
      </c>
      <c r="I9" s="19" t="s">
        <v>366</v>
      </c>
      <c r="J9" s="18" t="s">
        <v>355</v>
      </c>
      <c r="K9" s="19" t="s">
        <v>375</v>
      </c>
    </row>
    <row r="10" spans="1:11" x14ac:dyDescent="0.35">
      <c r="A10" s="20">
        <v>9</v>
      </c>
      <c r="B10" s="21" t="s">
        <v>376</v>
      </c>
      <c r="C10" s="21" t="s">
        <v>377</v>
      </c>
      <c r="D10" s="21" t="s">
        <v>378</v>
      </c>
      <c r="E10" s="20">
        <v>1</v>
      </c>
      <c r="F10" s="20" t="s">
        <v>11</v>
      </c>
      <c r="G10" s="20">
        <v>6</v>
      </c>
      <c r="H10" s="20" t="s">
        <v>42</v>
      </c>
      <c r="I10" s="21" t="s">
        <v>379</v>
      </c>
      <c r="J10" s="20" t="s">
        <v>355</v>
      </c>
      <c r="K10" s="21"/>
    </row>
    <row r="11" spans="1:11" x14ac:dyDescent="0.35">
      <c r="A11" s="20">
        <v>10</v>
      </c>
      <c r="B11" s="21" t="s">
        <v>376</v>
      </c>
      <c r="C11" s="21" t="s">
        <v>380</v>
      </c>
      <c r="D11" s="21" t="s">
        <v>381</v>
      </c>
      <c r="E11" s="20">
        <v>2</v>
      </c>
      <c r="F11" s="20" t="s">
        <v>19</v>
      </c>
      <c r="G11" s="20">
        <v>8</v>
      </c>
      <c r="H11" s="20" t="s">
        <v>53</v>
      </c>
      <c r="I11" s="21" t="s">
        <v>379</v>
      </c>
      <c r="J11" s="20" t="s">
        <v>355</v>
      </c>
      <c r="K11" s="21"/>
    </row>
    <row r="12" spans="1:11" x14ac:dyDescent="0.35">
      <c r="A12" s="20">
        <v>11</v>
      </c>
      <c r="B12" s="21" t="s">
        <v>376</v>
      </c>
      <c r="C12" s="21" t="s">
        <v>382</v>
      </c>
      <c r="D12" s="21" t="s">
        <v>383</v>
      </c>
      <c r="E12" s="20">
        <v>3</v>
      </c>
      <c r="F12" s="20" t="s">
        <v>26</v>
      </c>
      <c r="G12" s="20">
        <v>5</v>
      </c>
      <c r="H12" s="20" t="s">
        <v>37</v>
      </c>
      <c r="I12" s="21" t="s">
        <v>379</v>
      </c>
      <c r="J12" s="20" t="s">
        <v>355</v>
      </c>
      <c r="K12" s="21"/>
    </row>
    <row r="13" spans="1:11" x14ac:dyDescent="0.35">
      <c r="A13" s="20">
        <v>12</v>
      </c>
      <c r="B13" s="21" t="s">
        <v>376</v>
      </c>
      <c r="C13" s="21" t="s">
        <v>384</v>
      </c>
      <c r="D13" s="21" t="s">
        <v>385</v>
      </c>
      <c r="E13" s="20">
        <v>4</v>
      </c>
      <c r="F13" s="20" t="s">
        <v>31</v>
      </c>
      <c r="G13" s="20">
        <v>7</v>
      </c>
      <c r="H13" s="20" t="s">
        <v>47</v>
      </c>
      <c r="I13" s="21" t="s">
        <v>379</v>
      </c>
      <c r="J13" s="20" t="s">
        <v>355</v>
      </c>
      <c r="K13" s="21"/>
    </row>
    <row r="14" spans="1:11" x14ac:dyDescent="0.35">
      <c r="A14" s="12">
        <v>13</v>
      </c>
      <c r="B14" s="13" t="s">
        <v>386</v>
      </c>
      <c r="C14" s="13" t="s">
        <v>387</v>
      </c>
      <c r="D14" s="13" t="s">
        <v>388</v>
      </c>
      <c r="E14" s="12">
        <v>1</v>
      </c>
      <c r="F14" s="12" t="s">
        <v>11</v>
      </c>
      <c r="G14" s="12">
        <v>3</v>
      </c>
      <c r="H14" s="12" t="s">
        <v>26</v>
      </c>
      <c r="I14" s="13" t="s">
        <v>389</v>
      </c>
      <c r="J14" s="12" t="s">
        <v>390</v>
      </c>
      <c r="K14" s="13"/>
    </row>
    <row r="15" spans="1:11" x14ac:dyDescent="0.35">
      <c r="A15" s="12">
        <v>14</v>
      </c>
      <c r="B15" s="13" t="s">
        <v>386</v>
      </c>
      <c r="C15" s="13" t="s">
        <v>391</v>
      </c>
      <c r="D15" s="13" t="s">
        <v>392</v>
      </c>
      <c r="E15" s="12">
        <v>2</v>
      </c>
      <c r="F15" s="12" t="s">
        <v>19</v>
      </c>
      <c r="G15" s="12">
        <v>5</v>
      </c>
      <c r="H15" s="12" t="s">
        <v>37</v>
      </c>
      <c r="I15" s="13" t="s">
        <v>389</v>
      </c>
      <c r="J15" s="12" t="s">
        <v>390</v>
      </c>
      <c r="K15" s="13" t="s">
        <v>393</v>
      </c>
    </row>
    <row r="16" spans="1:11" x14ac:dyDescent="0.35">
      <c r="A16" s="12">
        <v>15</v>
      </c>
      <c r="B16" s="13" t="s">
        <v>386</v>
      </c>
      <c r="C16" s="13" t="s">
        <v>394</v>
      </c>
      <c r="D16" s="13" t="s">
        <v>395</v>
      </c>
      <c r="E16" s="12">
        <v>4</v>
      </c>
      <c r="F16" s="12" t="s">
        <v>31</v>
      </c>
      <c r="G16" s="12">
        <v>8</v>
      </c>
      <c r="H16" s="12" t="s">
        <v>53</v>
      </c>
      <c r="I16" s="13" t="s">
        <v>389</v>
      </c>
      <c r="J16" s="12" t="s">
        <v>390</v>
      </c>
      <c r="K16" s="13"/>
    </row>
    <row r="17" spans="1:11" x14ac:dyDescent="0.35">
      <c r="A17" s="12">
        <v>16</v>
      </c>
      <c r="B17" s="13" t="s">
        <v>386</v>
      </c>
      <c r="C17" s="13" t="s">
        <v>396</v>
      </c>
      <c r="D17" s="13" t="s">
        <v>397</v>
      </c>
      <c r="E17" s="12">
        <v>6</v>
      </c>
      <c r="F17" s="12" t="s">
        <v>42</v>
      </c>
      <c r="G17" s="12">
        <v>7</v>
      </c>
      <c r="H17" s="12" t="s">
        <v>47</v>
      </c>
      <c r="I17" s="13" t="s">
        <v>389</v>
      </c>
      <c r="J17" s="12" t="s">
        <v>390</v>
      </c>
      <c r="K17" s="13"/>
    </row>
  </sheetData>
  <autoFilter ref="A2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4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2" customWidth="1"/>
    <col min="3" max="3" width="25" customWidth="1"/>
    <col min="4" max="4" width="45" customWidth="1"/>
    <col min="5" max="5" width="50" customWidth="1"/>
    <col min="6" max="6" width="8" customWidth="1"/>
    <col min="7" max="7" width="30" customWidth="1"/>
    <col min="8" max="8" width="14" customWidth="1"/>
    <col min="9" max="9" width="18" customWidth="1"/>
    <col min="10" max="10" width="10" customWidth="1"/>
    <col min="11" max="11" width="20" customWidth="1"/>
    <col min="12" max="12" width="18" customWidth="1"/>
  </cols>
  <sheetData>
    <row r="1" spans="1:12" ht="32" customHeight="1" x14ac:dyDescent="0.35">
      <c r="A1" s="1" t="s">
        <v>398</v>
      </c>
      <c r="B1" s="1" t="s">
        <v>399</v>
      </c>
      <c r="C1" s="1" t="s">
        <v>400</v>
      </c>
      <c r="D1" s="1" t="s">
        <v>401</v>
      </c>
      <c r="E1" s="1" t="s">
        <v>402</v>
      </c>
      <c r="F1" s="1" t="s">
        <v>403</v>
      </c>
      <c r="G1" s="1" t="s">
        <v>404</v>
      </c>
      <c r="H1" s="1" t="s">
        <v>405</v>
      </c>
      <c r="I1" s="1" t="s">
        <v>406</v>
      </c>
      <c r="J1" s="1" t="s">
        <v>407</v>
      </c>
      <c r="K1" s="1" t="s">
        <v>9</v>
      </c>
      <c r="L1" s="27" t="s">
        <v>408</v>
      </c>
    </row>
    <row r="2" spans="1:12" ht="50" customHeight="1" x14ac:dyDescent="0.35">
      <c r="A2" s="2">
        <v>1000</v>
      </c>
      <c r="B2" s="2" t="s">
        <v>409</v>
      </c>
      <c r="C2" s="3" t="s">
        <v>410</v>
      </c>
      <c r="D2" s="22" t="s">
        <v>411</v>
      </c>
      <c r="E2" s="22" t="s">
        <v>412</v>
      </c>
      <c r="F2" s="2">
        <v>1</v>
      </c>
      <c r="G2" s="22" t="s">
        <v>413</v>
      </c>
      <c r="H2" s="2"/>
      <c r="I2" s="3" t="s">
        <v>414</v>
      </c>
      <c r="J2" s="2" t="s">
        <v>415</v>
      </c>
      <c r="K2" s="3"/>
      <c r="L2" s="28">
        <v>0.1</v>
      </c>
    </row>
    <row r="3" spans="1:12" ht="50" customHeight="1" x14ac:dyDescent="0.35">
      <c r="A3" s="4">
        <v>1001</v>
      </c>
      <c r="B3" s="4" t="s">
        <v>416</v>
      </c>
      <c r="C3" s="5" t="s">
        <v>417</v>
      </c>
      <c r="D3" s="23" t="s">
        <v>418</v>
      </c>
      <c r="E3" s="23" t="s">
        <v>419</v>
      </c>
      <c r="F3" s="4">
        <v>2</v>
      </c>
      <c r="G3" s="23" t="s">
        <v>420</v>
      </c>
      <c r="H3" s="4"/>
      <c r="I3" s="5" t="s">
        <v>414</v>
      </c>
      <c r="J3" s="4" t="s">
        <v>415</v>
      </c>
      <c r="K3" s="5"/>
      <c r="L3" s="28">
        <v>0.1</v>
      </c>
    </row>
    <row r="4" spans="1:12" ht="50" customHeight="1" x14ac:dyDescent="0.35">
      <c r="A4" s="2">
        <v>1002</v>
      </c>
      <c r="B4" s="2" t="s">
        <v>416</v>
      </c>
      <c r="C4" s="3" t="s">
        <v>417</v>
      </c>
      <c r="D4" s="22" t="s">
        <v>421</v>
      </c>
      <c r="E4" s="22" t="s">
        <v>422</v>
      </c>
      <c r="F4" s="2">
        <v>2</v>
      </c>
      <c r="G4" s="22" t="s">
        <v>423</v>
      </c>
      <c r="H4" s="2"/>
      <c r="I4" s="3" t="s">
        <v>414</v>
      </c>
      <c r="J4" s="2" t="s">
        <v>415</v>
      </c>
      <c r="K4" s="3"/>
      <c r="L4" s="28">
        <v>0.1</v>
      </c>
    </row>
    <row r="5" spans="1:12" ht="50" customHeight="1" x14ac:dyDescent="0.35">
      <c r="A5" s="4">
        <v>1003</v>
      </c>
      <c r="B5" s="4" t="s">
        <v>416</v>
      </c>
      <c r="C5" s="5" t="s">
        <v>417</v>
      </c>
      <c r="D5" s="23" t="s">
        <v>424</v>
      </c>
      <c r="E5" s="23" t="s">
        <v>425</v>
      </c>
      <c r="F5" s="4">
        <v>2</v>
      </c>
      <c r="G5" s="23" t="s">
        <v>426</v>
      </c>
      <c r="H5" s="4"/>
      <c r="I5" s="5" t="s">
        <v>414</v>
      </c>
      <c r="J5" s="4" t="s">
        <v>415</v>
      </c>
      <c r="K5" s="5"/>
      <c r="L5" s="28">
        <v>0.1</v>
      </c>
    </row>
    <row r="6" spans="1:12" ht="50" customHeight="1" x14ac:dyDescent="0.35">
      <c r="A6" s="2">
        <v>1004</v>
      </c>
      <c r="B6" s="2" t="s">
        <v>416</v>
      </c>
      <c r="C6" s="3" t="s">
        <v>417</v>
      </c>
      <c r="D6" s="22" t="s">
        <v>427</v>
      </c>
      <c r="E6" s="22" t="s">
        <v>428</v>
      </c>
      <c r="F6" s="2">
        <v>1</v>
      </c>
      <c r="G6" s="22" t="s">
        <v>429</v>
      </c>
      <c r="H6" s="2"/>
      <c r="I6" s="3" t="s">
        <v>414</v>
      </c>
      <c r="J6" s="2" t="s">
        <v>415</v>
      </c>
      <c r="K6" s="3"/>
      <c r="L6" s="28">
        <v>0.1</v>
      </c>
    </row>
    <row r="7" spans="1:12" ht="50" customHeight="1" x14ac:dyDescent="0.35">
      <c r="A7" s="4">
        <v>1005</v>
      </c>
      <c r="B7" s="4" t="s">
        <v>416</v>
      </c>
      <c r="C7" s="5" t="s">
        <v>417</v>
      </c>
      <c r="D7" s="23" t="s">
        <v>430</v>
      </c>
      <c r="E7" s="23" t="s">
        <v>431</v>
      </c>
      <c r="F7" s="4">
        <v>1</v>
      </c>
      <c r="G7" s="23" t="s">
        <v>432</v>
      </c>
      <c r="H7" s="4" t="s">
        <v>313</v>
      </c>
      <c r="I7" s="5" t="s">
        <v>314</v>
      </c>
      <c r="J7" s="4" t="s">
        <v>415</v>
      </c>
      <c r="K7" s="5"/>
      <c r="L7" s="28">
        <v>0.1</v>
      </c>
    </row>
    <row r="8" spans="1:12" ht="50" customHeight="1" x14ac:dyDescent="0.35">
      <c r="A8" s="2">
        <v>1006</v>
      </c>
      <c r="B8" s="2" t="s">
        <v>433</v>
      </c>
      <c r="C8" s="3" t="s">
        <v>434</v>
      </c>
      <c r="D8" s="22" t="s">
        <v>435</v>
      </c>
      <c r="E8" s="22" t="s">
        <v>436</v>
      </c>
      <c r="F8" s="2">
        <v>1</v>
      </c>
      <c r="G8" s="22" t="s">
        <v>437</v>
      </c>
      <c r="H8" s="2" t="s">
        <v>313</v>
      </c>
      <c r="I8" s="3" t="s">
        <v>314</v>
      </c>
      <c r="J8" s="2" t="s">
        <v>415</v>
      </c>
      <c r="K8" s="3"/>
      <c r="L8" s="28">
        <v>0.1</v>
      </c>
    </row>
    <row r="9" spans="1:12" ht="50" customHeight="1" x14ac:dyDescent="0.35">
      <c r="A9" s="4">
        <v>1007</v>
      </c>
      <c r="B9" s="4" t="s">
        <v>433</v>
      </c>
      <c r="C9" s="5" t="s">
        <v>434</v>
      </c>
      <c r="D9" s="23" t="s">
        <v>438</v>
      </c>
      <c r="E9" s="23" t="s">
        <v>439</v>
      </c>
      <c r="F9" s="4">
        <v>2</v>
      </c>
      <c r="G9" s="23" t="s">
        <v>440</v>
      </c>
      <c r="H9" s="4" t="s">
        <v>338</v>
      </c>
      <c r="I9" s="5" t="s">
        <v>339</v>
      </c>
      <c r="J9" s="4" t="s">
        <v>415</v>
      </c>
      <c r="K9" s="5"/>
      <c r="L9" s="28">
        <v>0.1</v>
      </c>
    </row>
    <row r="10" spans="1:12" ht="50" customHeight="1" x14ac:dyDescent="0.35">
      <c r="A10" s="2">
        <v>1008</v>
      </c>
      <c r="B10" s="2" t="s">
        <v>433</v>
      </c>
      <c r="C10" s="3" t="s">
        <v>434</v>
      </c>
      <c r="D10" s="22" t="s">
        <v>441</v>
      </c>
      <c r="E10" s="22" t="s">
        <v>442</v>
      </c>
      <c r="F10" s="2">
        <v>2</v>
      </c>
      <c r="G10" s="22" t="s">
        <v>443</v>
      </c>
      <c r="H10" s="2"/>
      <c r="I10" s="3" t="s">
        <v>414</v>
      </c>
      <c r="J10" s="2" t="s">
        <v>415</v>
      </c>
      <c r="K10" s="3"/>
      <c r="L10" s="28">
        <v>0.1</v>
      </c>
    </row>
    <row r="11" spans="1:12" ht="50" customHeight="1" x14ac:dyDescent="0.35">
      <c r="A11" s="4">
        <v>1009</v>
      </c>
      <c r="B11" s="4" t="s">
        <v>444</v>
      </c>
      <c r="C11" s="5" t="s">
        <v>445</v>
      </c>
      <c r="D11" s="23" t="s">
        <v>446</v>
      </c>
      <c r="E11" s="23" t="s">
        <v>447</v>
      </c>
      <c r="F11" s="4">
        <v>1</v>
      </c>
      <c r="G11" s="23" t="s">
        <v>448</v>
      </c>
      <c r="H11" s="4"/>
      <c r="I11" s="5" t="s">
        <v>414</v>
      </c>
      <c r="J11" s="4" t="s">
        <v>415</v>
      </c>
      <c r="K11" s="5"/>
      <c r="L11" s="28">
        <v>0.1</v>
      </c>
    </row>
    <row r="12" spans="1:12" ht="50" customHeight="1" x14ac:dyDescent="0.35">
      <c r="A12" s="2">
        <v>1010</v>
      </c>
      <c r="B12" s="2" t="s">
        <v>444</v>
      </c>
      <c r="C12" s="3" t="s">
        <v>445</v>
      </c>
      <c r="D12" s="22" t="s">
        <v>449</v>
      </c>
      <c r="E12" s="22" t="s">
        <v>450</v>
      </c>
      <c r="F12" s="2">
        <v>1</v>
      </c>
      <c r="G12" s="22" t="s">
        <v>451</v>
      </c>
      <c r="H12" s="2"/>
      <c r="I12" s="3" t="s">
        <v>414</v>
      </c>
      <c r="J12" s="2" t="s">
        <v>415</v>
      </c>
      <c r="K12" s="3"/>
      <c r="L12" s="28">
        <v>0.1</v>
      </c>
    </row>
    <row r="13" spans="1:12" ht="50" customHeight="1" x14ac:dyDescent="0.35">
      <c r="A13" s="4">
        <v>1011</v>
      </c>
      <c r="B13" s="4" t="s">
        <v>444</v>
      </c>
      <c r="C13" s="5" t="s">
        <v>445</v>
      </c>
      <c r="D13" s="23" t="s">
        <v>452</v>
      </c>
      <c r="E13" s="23" t="s">
        <v>453</v>
      </c>
      <c r="F13" s="4">
        <v>1</v>
      </c>
      <c r="G13" s="23" t="s">
        <v>454</v>
      </c>
      <c r="H13" s="4"/>
      <c r="I13" s="5" t="s">
        <v>414</v>
      </c>
      <c r="J13" s="4" t="s">
        <v>415</v>
      </c>
      <c r="K13" s="5"/>
      <c r="L13" s="28">
        <v>0.1</v>
      </c>
    </row>
    <row r="14" spans="1:12" ht="50" customHeight="1" x14ac:dyDescent="0.35">
      <c r="A14" s="2">
        <v>1012</v>
      </c>
      <c r="B14" s="2" t="s">
        <v>444</v>
      </c>
      <c r="C14" s="3" t="s">
        <v>445</v>
      </c>
      <c r="D14" s="22" t="s">
        <v>455</v>
      </c>
      <c r="E14" s="22" t="s">
        <v>456</v>
      </c>
      <c r="F14" s="2">
        <v>1</v>
      </c>
      <c r="G14" s="22" t="s">
        <v>457</v>
      </c>
      <c r="H14" s="2"/>
      <c r="I14" s="3" t="s">
        <v>414</v>
      </c>
      <c r="J14" s="2" t="s">
        <v>415</v>
      </c>
      <c r="K14" s="3"/>
      <c r="L14" s="28">
        <v>0.1</v>
      </c>
    </row>
    <row r="15" spans="1:12" ht="50" customHeight="1" x14ac:dyDescent="0.35">
      <c r="A15" s="4">
        <v>1013</v>
      </c>
      <c r="B15" s="4" t="s">
        <v>444</v>
      </c>
      <c r="C15" s="5" t="s">
        <v>445</v>
      </c>
      <c r="D15" s="23" t="s">
        <v>458</v>
      </c>
      <c r="E15" s="23" t="s">
        <v>459</v>
      </c>
      <c r="F15" s="4">
        <v>1</v>
      </c>
      <c r="G15" s="23" t="s">
        <v>460</v>
      </c>
      <c r="H15" s="4" t="s">
        <v>338</v>
      </c>
      <c r="I15" s="5" t="s">
        <v>339</v>
      </c>
      <c r="J15" s="4" t="s">
        <v>415</v>
      </c>
      <c r="K15" s="5"/>
      <c r="L15" s="28">
        <v>0.1</v>
      </c>
    </row>
    <row r="16" spans="1:12" ht="50" customHeight="1" x14ac:dyDescent="0.35">
      <c r="A16" s="2">
        <v>1014</v>
      </c>
      <c r="B16" s="2" t="s">
        <v>444</v>
      </c>
      <c r="C16" s="3" t="s">
        <v>445</v>
      </c>
      <c r="D16" s="22" t="s">
        <v>461</v>
      </c>
      <c r="E16" s="22" t="s">
        <v>462</v>
      </c>
      <c r="F16" s="2">
        <v>1</v>
      </c>
      <c r="G16" s="22" t="s">
        <v>463</v>
      </c>
      <c r="H16" s="2"/>
      <c r="I16" s="3" t="s">
        <v>414</v>
      </c>
      <c r="J16" s="2" t="s">
        <v>415</v>
      </c>
      <c r="K16" s="3"/>
      <c r="L16" s="28">
        <v>0.1</v>
      </c>
    </row>
    <row r="17" spans="1:12" ht="50" customHeight="1" x14ac:dyDescent="0.35">
      <c r="A17" s="4">
        <v>1015</v>
      </c>
      <c r="B17" s="4" t="s">
        <v>444</v>
      </c>
      <c r="C17" s="5" t="s">
        <v>445</v>
      </c>
      <c r="D17" s="23" t="s">
        <v>464</v>
      </c>
      <c r="E17" s="23" t="s">
        <v>465</v>
      </c>
      <c r="F17" s="4">
        <v>1</v>
      </c>
      <c r="G17" s="23" t="s">
        <v>466</v>
      </c>
      <c r="H17" s="4"/>
      <c r="I17" s="5" t="s">
        <v>414</v>
      </c>
      <c r="J17" s="4" t="s">
        <v>415</v>
      </c>
      <c r="K17" s="5"/>
      <c r="L17" s="28">
        <v>0.1</v>
      </c>
    </row>
    <row r="18" spans="1:12" ht="50" customHeight="1" x14ac:dyDescent="0.35">
      <c r="A18" s="2">
        <v>1016</v>
      </c>
      <c r="B18" s="2" t="s">
        <v>444</v>
      </c>
      <c r="C18" s="3" t="s">
        <v>445</v>
      </c>
      <c r="D18" s="22" t="s">
        <v>467</v>
      </c>
      <c r="E18" s="22" t="s">
        <v>468</v>
      </c>
      <c r="F18" s="2">
        <v>1</v>
      </c>
      <c r="G18" s="22" t="s">
        <v>469</v>
      </c>
      <c r="H18" s="2"/>
      <c r="I18" s="3" t="s">
        <v>414</v>
      </c>
      <c r="J18" s="2" t="s">
        <v>415</v>
      </c>
      <c r="K18" s="3"/>
      <c r="L18" s="28">
        <v>0.1</v>
      </c>
    </row>
    <row r="19" spans="1:12" ht="50" customHeight="1" x14ac:dyDescent="0.35">
      <c r="A19" s="4">
        <v>1017</v>
      </c>
      <c r="B19" s="4" t="s">
        <v>444</v>
      </c>
      <c r="C19" s="5" t="s">
        <v>445</v>
      </c>
      <c r="D19" s="23" t="s">
        <v>470</v>
      </c>
      <c r="E19" s="23" t="s">
        <v>471</v>
      </c>
      <c r="F19" s="4">
        <v>2</v>
      </c>
      <c r="G19" s="23" t="s">
        <v>472</v>
      </c>
      <c r="H19" s="4"/>
      <c r="I19" s="5" t="s">
        <v>414</v>
      </c>
      <c r="J19" s="4" t="s">
        <v>415</v>
      </c>
      <c r="K19" s="5"/>
      <c r="L19" s="28">
        <v>0.1</v>
      </c>
    </row>
    <row r="20" spans="1:12" ht="50" customHeight="1" x14ac:dyDescent="0.35">
      <c r="A20" s="2">
        <v>1018</v>
      </c>
      <c r="B20" s="2" t="s">
        <v>444</v>
      </c>
      <c r="C20" s="3" t="s">
        <v>445</v>
      </c>
      <c r="D20" s="22" t="s">
        <v>473</v>
      </c>
      <c r="E20" s="22" t="s">
        <v>474</v>
      </c>
      <c r="F20" s="2">
        <v>2</v>
      </c>
      <c r="G20" s="22" t="s">
        <v>475</v>
      </c>
      <c r="H20" s="2"/>
      <c r="I20" s="3" t="s">
        <v>414</v>
      </c>
      <c r="J20" s="2" t="s">
        <v>415</v>
      </c>
      <c r="K20" s="3"/>
      <c r="L20" s="28">
        <v>0.1</v>
      </c>
    </row>
    <row r="21" spans="1:12" ht="50" customHeight="1" x14ac:dyDescent="0.35">
      <c r="A21" s="4">
        <v>1019</v>
      </c>
      <c r="B21" s="4" t="s">
        <v>444</v>
      </c>
      <c r="C21" s="5" t="s">
        <v>445</v>
      </c>
      <c r="D21" s="23" t="s">
        <v>476</v>
      </c>
      <c r="E21" s="23" t="s">
        <v>477</v>
      </c>
      <c r="F21" s="4">
        <v>1</v>
      </c>
      <c r="G21" s="23" t="s">
        <v>478</v>
      </c>
      <c r="H21" s="4" t="s">
        <v>313</v>
      </c>
      <c r="I21" s="5" t="s">
        <v>314</v>
      </c>
      <c r="J21" s="4" t="s">
        <v>415</v>
      </c>
      <c r="K21" s="5"/>
      <c r="L21" s="28">
        <v>0.1</v>
      </c>
    </row>
    <row r="22" spans="1:12" ht="50" customHeight="1" x14ac:dyDescent="0.35">
      <c r="A22" s="2">
        <v>1020</v>
      </c>
      <c r="B22" s="2" t="s">
        <v>479</v>
      </c>
      <c r="C22" s="3" t="s">
        <v>480</v>
      </c>
      <c r="D22" s="22" t="s">
        <v>481</v>
      </c>
      <c r="E22" s="22" t="s">
        <v>482</v>
      </c>
      <c r="F22" s="2">
        <v>3</v>
      </c>
      <c r="G22" s="22" t="s">
        <v>483</v>
      </c>
      <c r="H22" s="2"/>
      <c r="I22" s="3" t="s">
        <v>414</v>
      </c>
      <c r="J22" s="2" t="s">
        <v>415</v>
      </c>
      <c r="K22" s="3"/>
      <c r="L22" s="28">
        <v>0.1</v>
      </c>
    </row>
    <row r="23" spans="1:12" ht="50" customHeight="1" x14ac:dyDescent="0.35">
      <c r="A23" s="4">
        <v>1021</v>
      </c>
      <c r="B23" s="4" t="s">
        <v>484</v>
      </c>
      <c r="C23" s="5" t="s">
        <v>485</v>
      </c>
      <c r="D23" s="23" t="s">
        <v>486</v>
      </c>
      <c r="E23" s="23" t="s">
        <v>487</v>
      </c>
      <c r="F23" s="4">
        <v>1</v>
      </c>
      <c r="G23" s="23" t="s">
        <v>488</v>
      </c>
      <c r="H23" s="4"/>
      <c r="I23" s="5" t="s">
        <v>414</v>
      </c>
      <c r="J23" s="4" t="s">
        <v>415</v>
      </c>
      <c r="K23" s="5"/>
      <c r="L23" s="28">
        <v>0.1</v>
      </c>
    </row>
    <row r="24" spans="1:12" ht="50" customHeight="1" x14ac:dyDescent="0.35">
      <c r="A24" s="2">
        <v>1022</v>
      </c>
      <c r="B24" s="2" t="s">
        <v>484</v>
      </c>
      <c r="C24" s="3" t="s">
        <v>485</v>
      </c>
      <c r="D24" s="22" t="s">
        <v>489</v>
      </c>
      <c r="E24" s="22" t="s">
        <v>490</v>
      </c>
      <c r="F24" s="2">
        <v>1</v>
      </c>
      <c r="G24" s="22" t="s">
        <v>491</v>
      </c>
      <c r="H24" s="2"/>
      <c r="I24" s="3" t="s">
        <v>414</v>
      </c>
      <c r="J24" s="2" t="s">
        <v>415</v>
      </c>
      <c r="K24" s="3"/>
      <c r="L24" s="28">
        <v>0.1</v>
      </c>
    </row>
    <row r="25" spans="1:12" ht="50" customHeight="1" x14ac:dyDescent="0.35">
      <c r="A25" s="4">
        <v>1023</v>
      </c>
      <c r="B25" s="4" t="s">
        <v>484</v>
      </c>
      <c r="C25" s="5" t="s">
        <v>485</v>
      </c>
      <c r="D25" s="23" t="s">
        <v>492</v>
      </c>
      <c r="E25" s="23" t="s">
        <v>493</v>
      </c>
      <c r="F25" s="4">
        <v>1</v>
      </c>
      <c r="G25" s="23" t="s">
        <v>494</v>
      </c>
      <c r="H25" s="4" t="s">
        <v>298</v>
      </c>
      <c r="I25" s="5" t="s">
        <v>299</v>
      </c>
      <c r="J25" s="4" t="s">
        <v>415</v>
      </c>
      <c r="K25" s="5"/>
      <c r="L25" s="28">
        <v>0.1</v>
      </c>
    </row>
    <row r="26" spans="1:12" ht="50" customHeight="1" x14ac:dyDescent="0.35">
      <c r="A26" s="2">
        <v>1024</v>
      </c>
      <c r="B26" s="2" t="s">
        <v>484</v>
      </c>
      <c r="C26" s="3" t="s">
        <v>485</v>
      </c>
      <c r="D26" s="22" t="s">
        <v>495</v>
      </c>
      <c r="E26" s="22" t="s">
        <v>496</v>
      </c>
      <c r="F26" s="2">
        <v>1</v>
      </c>
      <c r="G26" s="22" t="s">
        <v>497</v>
      </c>
      <c r="H26" s="2"/>
      <c r="I26" s="3" t="s">
        <v>414</v>
      </c>
      <c r="J26" s="2" t="s">
        <v>415</v>
      </c>
      <c r="K26" s="3"/>
      <c r="L26" s="28">
        <v>0.1</v>
      </c>
    </row>
    <row r="27" spans="1:12" ht="50" customHeight="1" x14ac:dyDescent="0.35">
      <c r="A27" s="4">
        <v>1025</v>
      </c>
      <c r="B27" s="4" t="s">
        <v>484</v>
      </c>
      <c r="C27" s="5" t="s">
        <v>485</v>
      </c>
      <c r="D27" s="23" t="s">
        <v>498</v>
      </c>
      <c r="E27" s="23" t="s">
        <v>499</v>
      </c>
      <c r="F27" s="4">
        <v>2</v>
      </c>
      <c r="G27" s="23" t="s">
        <v>500</v>
      </c>
      <c r="H27" s="4"/>
      <c r="I27" s="5" t="s">
        <v>414</v>
      </c>
      <c r="J27" s="4" t="s">
        <v>415</v>
      </c>
      <c r="K27" s="5"/>
      <c r="L27" s="28">
        <v>0.1</v>
      </c>
    </row>
    <row r="28" spans="1:12" ht="50" customHeight="1" x14ac:dyDescent="0.35">
      <c r="A28" s="2">
        <v>1026</v>
      </c>
      <c r="B28" s="2" t="s">
        <v>484</v>
      </c>
      <c r="C28" s="3" t="s">
        <v>485</v>
      </c>
      <c r="D28" s="22" t="s">
        <v>501</v>
      </c>
      <c r="E28" s="22" t="s">
        <v>499</v>
      </c>
      <c r="F28" s="2">
        <v>2</v>
      </c>
      <c r="G28" s="22" t="s">
        <v>502</v>
      </c>
      <c r="H28" s="2"/>
      <c r="I28" s="3" t="s">
        <v>414</v>
      </c>
      <c r="J28" s="2" t="s">
        <v>415</v>
      </c>
      <c r="K28" s="3"/>
      <c r="L28" s="28">
        <v>0.1</v>
      </c>
    </row>
    <row r="29" spans="1:12" ht="50" customHeight="1" x14ac:dyDescent="0.35">
      <c r="A29" s="4">
        <v>1027</v>
      </c>
      <c r="B29" s="4" t="s">
        <v>484</v>
      </c>
      <c r="C29" s="5" t="s">
        <v>485</v>
      </c>
      <c r="D29" s="23" t="s">
        <v>503</v>
      </c>
      <c r="E29" s="23" t="s">
        <v>504</v>
      </c>
      <c r="F29" s="4">
        <v>1</v>
      </c>
      <c r="G29" s="23" t="s">
        <v>505</v>
      </c>
      <c r="H29" s="4"/>
      <c r="I29" s="5" t="s">
        <v>414</v>
      </c>
      <c r="J29" s="4" t="s">
        <v>415</v>
      </c>
      <c r="K29" s="5"/>
      <c r="L29" s="28">
        <v>0.1</v>
      </c>
    </row>
    <row r="30" spans="1:12" ht="50" customHeight="1" x14ac:dyDescent="0.35">
      <c r="A30" s="2">
        <v>1028</v>
      </c>
      <c r="B30" s="2" t="s">
        <v>484</v>
      </c>
      <c r="C30" s="3" t="s">
        <v>485</v>
      </c>
      <c r="D30" s="22" t="s">
        <v>506</v>
      </c>
      <c r="E30" s="22" t="s">
        <v>507</v>
      </c>
      <c r="F30" s="2">
        <v>2</v>
      </c>
      <c r="G30" s="22" t="s">
        <v>508</v>
      </c>
      <c r="H30" s="2"/>
      <c r="I30" s="3" t="s">
        <v>414</v>
      </c>
      <c r="J30" s="2" t="s">
        <v>415</v>
      </c>
      <c r="K30" s="3"/>
      <c r="L30" s="28">
        <v>0.1</v>
      </c>
    </row>
    <row r="31" spans="1:12" ht="50" customHeight="1" x14ac:dyDescent="0.35">
      <c r="A31" s="4">
        <v>1029</v>
      </c>
      <c r="B31" s="4" t="s">
        <v>484</v>
      </c>
      <c r="C31" s="5" t="s">
        <v>485</v>
      </c>
      <c r="D31" s="23" t="s">
        <v>509</v>
      </c>
      <c r="E31" s="23" t="s">
        <v>510</v>
      </c>
      <c r="F31" s="4">
        <v>1</v>
      </c>
      <c r="G31" s="23" t="s">
        <v>511</v>
      </c>
      <c r="H31" s="4" t="s">
        <v>298</v>
      </c>
      <c r="I31" s="5" t="s">
        <v>299</v>
      </c>
      <c r="J31" s="4" t="s">
        <v>415</v>
      </c>
      <c r="K31" s="5"/>
      <c r="L31" s="28">
        <v>0.1</v>
      </c>
    </row>
    <row r="32" spans="1:12" ht="50" customHeight="1" x14ac:dyDescent="0.35">
      <c r="A32" s="2">
        <v>1030</v>
      </c>
      <c r="B32" s="2" t="s">
        <v>484</v>
      </c>
      <c r="C32" s="3" t="s">
        <v>485</v>
      </c>
      <c r="D32" s="22" t="s">
        <v>512</v>
      </c>
      <c r="E32" s="22" t="s">
        <v>513</v>
      </c>
      <c r="F32" s="2">
        <v>2</v>
      </c>
      <c r="G32" s="22" t="s">
        <v>514</v>
      </c>
      <c r="H32" s="2" t="s">
        <v>298</v>
      </c>
      <c r="I32" s="3" t="s">
        <v>299</v>
      </c>
      <c r="J32" s="2" t="s">
        <v>415</v>
      </c>
      <c r="K32" s="3"/>
      <c r="L32" s="28">
        <v>0.1</v>
      </c>
    </row>
    <row r="33" spans="1:12" ht="50" customHeight="1" x14ac:dyDescent="0.35">
      <c r="A33" s="4">
        <v>1031</v>
      </c>
      <c r="B33" s="4" t="s">
        <v>515</v>
      </c>
      <c r="C33" s="5" t="s">
        <v>516</v>
      </c>
      <c r="D33" s="23" t="s">
        <v>517</v>
      </c>
      <c r="E33" s="23" t="s">
        <v>518</v>
      </c>
      <c r="F33" s="4">
        <v>2</v>
      </c>
      <c r="G33" s="23" t="s">
        <v>519</v>
      </c>
      <c r="H33" s="4"/>
      <c r="I33" s="5" t="s">
        <v>414</v>
      </c>
      <c r="J33" s="4" t="s">
        <v>415</v>
      </c>
      <c r="K33" s="5"/>
      <c r="L33" s="28">
        <v>0.1</v>
      </c>
    </row>
    <row r="34" spans="1:12" ht="50" customHeight="1" x14ac:dyDescent="0.35">
      <c r="A34" s="2">
        <v>1032</v>
      </c>
      <c r="B34" s="2" t="s">
        <v>515</v>
      </c>
      <c r="C34" s="3" t="s">
        <v>516</v>
      </c>
      <c r="D34" s="22" t="s">
        <v>520</v>
      </c>
      <c r="E34" s="22" t="s">
        <v>521</v>
      </c>
      <c r="F34" s="2">
        <v>2</v>
      </c>
      <c r="G34" s="22" t="s">
        <v>522</v>
      </c>
      <c r="H34" s="2"/>
      <c r="I34" s="3" t="s">
        <v>414</v>
      </c>
      <c r="J34" s="2" t="s">
        <v>415</v>
      </c>
      <c r="K34" s="3"/>
      <c r="L34" s="28">
        <v>0.1</v>
      </c>
    </row>
    <row r="35" spans="1:12" ht="50" customHeight="1" x14ac:dyDescent="0.35">
      <c r="A35" s="4">
        <v>1033</v>
      </c>
      <c r="B35" s="4" t="s">
        <v>515</v>
      </c>
      <c r="C35" s="5" t="s">
        <v>516</v>
      </c>
      <c r="D35" s="23" t="s">
        <v>523</v>
      </c>
      <c r="E35" s="23" t="s">
        <v>524</v>
      </c>
      <c r="F35" s="4">
        <v>2</v>
      </c>
      <c r="G35" s="23" t="s">
        <v>525</v>
      </c>
      <c r="H35" s="4" t="s">
        <v>303</v>
      </c>
      <c r="I35" s="5" t="s">
        <v>304</v>
      </c>
      <c r="J35" s="4" t="s">
        <v>415</v>
      </c>
      <c r="K35" s="5"/>
      <c r="L35" s="28">
        <v>0.1</v>
      </c>
    </row>
    <row r="36" spans="1:12" ht="50" customHeight="1" x14ac:dyDescent="0.35">
      <c r="A36" s="2">
        <v>1034</v>
      </c>
      <c r="B36" s="2" t="s">
        <v>526</v>
      </c>
      <c r="C36" s="3" t="s">
        <v>527</v>
      </c>
      <c r="D36" s="22" t="s">
        <v>528</v>
      </c>
      <c r="E36" s="22" t="s">
        <v>529</v>
      </c>
      <c r="F36" s="2">
        <v>1</v>
      </c>
      <c r="G36" s="22" t="s">
        <v>530</v>
      </c>
      <c r="H36" s="2" t="s">
        <v>298</v>
      </c>
      <c r="I36" s="3" t="s">
        <v>299</v>
      </c>
      <c r="J36" s="2" t="s">
        <v>415</v>
      </c>
      <c r="K36" s="3"/>
      <c r="L36" s="28">
        <v>0.1</v>
      </c>
    </row>
    <row r="37" spans="1:12" ht="50" customHeight="1" x14ac:dyDescent="0.35">
      <c r="A37" s="4">
        <v>1035</v>
      </c>
      <c r="B37" s="4" t="s">
        <v>526</v>
      </c>
      <c r="C37" s="5" t="s">
        <v>527</v>
      </c>
      <c r="D37" s="23" t="s">
        <v>531</v>
      </c>
      <c r="E37" s="23" t="s">
        <v>532</v>
      </c>
      <c r="F37" s="4">
        <v>1</v>
      </c>
      <c r="G37" s="23" t="s">
        <v>533</v>
      </c>
      <c r="H37" s="4" t="s">
        <v>303</v>
      </c>
      <c r="I37" s="5" t="s">
        <v>304</v>
      </c>
      <c r="J37" s="4" t="s">
        <v>415</v>
      </c>
      <c r="K37" s="5"/>
      <c r="L37" s="28">
        <v>0.1</v>
      </c>
    </row>
    <row r="38" spans="1:12" ht="50" customHeight="1" x14ac:dyDescent="0.35">
      <c r="A38" s="2">
        <v>1036</v>
      </c>
      <c r="B38" s="2" t="s">
        <v>526</v>
      </c>
      <c r="C38" s="3" t="s">
        <v>527</v>
      </c>
      <c r="D38" s="22" t="s">
        <v>534</v>
      </c>
      <c r="E38" s="22" t="s">
        <v>535</v>
      </c>
      <c r="F38" s="2">
        <v>1</v>
      </c>
      <c r="G38" s="22" t="s">
        <v>536</v>
      </c>
      <c r="H38" s="2" t="s">
        <v>303</v>
      </c>
      <c r="I38" s="3" t="s">
        <v>304</v>
      </c>
      <c r="J38" s="2" t="s">
        <v>415</v>
      </c>
      <c r="K38" s="3"/>
      <c r="L38" s="28">
        <v>0.1</v>
      </c>
    </row>
    <row r="39" spans="1:12" ht="50" customHeight="1" x14ac:dyDescent="0.35">
      <c r="A39" s="4">
        <v>1037</v>
      </c>
      <c r="B39" s="4" t="s">
        <v>526</v>
      </c>
      <c r="C39" s="5" t="s">
        <v>527</v>
      </c>
      <c r="D39" s="23" t="s">
        <v>537</v>
      </c>
      <c r="E39" s="23" t="s">
        <v>538</v>
      </c>
      <c r="F39" s="4">
        <v>3</v>
      </c>
      <c r="G39" s="23" t="s">
        <v>539</v>
      </c>
      <c r="H39" s="4" t="s">
        <v>303</v>
      </c>
      <c r="I39" s="5" t="s">
        <v>304</v>
      </c>
      <c r="J39" s="4" t="s">
        <v>415</v>
      </c>
      <c r="K39" s="5"/>
      <c r="L39" s="28">
        <v>0.1</v>
      </c>
    </row>
    <row r="40" spans="1:12" ht="50" customHeight="1" x14ac:dyDescent="0.35">
      <c r="A40" s="2">
        <v>1038</v>
      </c>
      <c r="B40" s="2" t="s">
        <v>540</v>
      </c>
      <c r="C40" s="3" t="s">
        <v>541</v>
      </c>
      <c r="D40" s="22" t="s">
        <v>542</v>
      </c>
      <c r="E40" s="22" t="s">
        <v>543</v>
      </c>
      <c r="F40" s="2">
        <v>1</v>
      </c>
      <c r="G40" s="22" t="s">
        <v>544</v>
      </c>
      <c r="H40" s="2"/>
      <c r="I40" s="3" t="s">
        <v>414</v>
      </c>
      <c r="J40" s="2" t="s">
        <v>415</v>
      </c>
      <c r="K40" s="3"/>
      <c r="L40" s="28">
        <v>0.1</v>
      </c>
    </row>
    <row r="41" spans="1:12" ht="50" customHeight="1" x14ac:dyDescent="0.35">
      <c r="A41" s="4">
        <v>1039</v>
      </c>
      <c r="B41" s="4" t="s">
        <v>540</v>
      </c>
      <c r="C41" s="5" t="s">
        <v>541</v>
      </c>
      <c r="D41" s="23" t="s">
        <v>545</v>
      </c>
      <c r="E41" s="23" t="s">
        <v>546</v>
      </c>
      <c r="F41" s="4">
        <v>1</v>
      </c>
      <c r="G41" s="23" t="s">
        <v>547</v>
      </c>
      <c r="H41" s="4"/>
      <c r="I41" s="5" t="s">
        <v>414</v>
      </c>
      <c r="J41" s="4" t="s">
        <v>415</v>
      </c>
      <c r="K41" s="5"/>
      <c r="L41" s="28">
        <v>0.1</v>
      </c>
    </row>
    <row r="42" spans="1:12" ht="50" customHeight="1" x14ac:dyDescent="0.35">
      <c r="A42" s="2">
        <v>1040</v>
      </c>
      <c r="B42" s="2" t="s">
        <v>540</v>
      </c>
      <c r="C42" s="3" t="s">
        <v>541</v>
      </c>
      <c r="D42" s="22" t="s">
        <v>548</v>
      </c>
      <c r="E42" s="22" t="s">
        <v>549</v>
      </c>
      <c r="F42" s="2">
        <v>1</v>
      </c>
      <c r="G42" s="22" t="s">
        <v>550</v>
      </c>
      <c r="H42" s="2"/>
      <c r="I42" s="3" t="s">
        <v>414</v>
      </c>
      <c r="J42" s="2" t="s">
        <v>415</v>
      </c>
      <c r="K42" s="3"/>
      <c r="L42" s="28">
        <v>0.1</v>
      </c>
    </row>
    <row r="43" spans="1:12" ht="50" customHeight="1" x14ac:dyDescent="0.35">
      <c r="A43" s="4">
        <v>1041</v>
      </c>
      <c r="B43" s="4" t="s">
        <v>540</v>
      </c>
      <c r="C43" s="5" t="s">
        <v>541</v>
      </c>
      <c r="D43" s="23" t="s">
        <v>551</v>
      </c>
      <c r="E43" s="23" t="s">
        <v>552</v>
      </c>
      <c r="F43" s="4">
        <v>1</v>
      </c>
      <c r="G43" s="23" t="s">
        <v>553</v>
      </c>
      <c r="H43" s="4"/>
      <c r="I43" s="5" t="s">
        <v>414</v>
      </c>
      <c r="J43" s="4" t="s">
        <v>415</v>
      </c>
      <c r="K43" s="5"/>
      <c r="L43" s="28">
        <v>0.1</v>
      </c>
    </row>
    <row r="44" spans="1:12" ht="50" customHeight="1" x14ac:dyDescent="0.35">
      <c r="A44" s="2">
        <v>1042</v>
      </c>
      <c r="B44" s="2" t="s">
        <v>540</v>
      </c>
      <c r="C44" s="3" t="s">
        <v>541</v>
      </c>
      <c r="D44" s="22" t="s">
        <v>554</v>
      </c>
      <c r="E44" s="22" t="s">
        <v>555</v>
      </c>
      <c r="F44" s="2">
        <v>1</v>
      </c>
      <c r="G44" s="22" t="s">
        <v>556</v>
      </c>
      <c r="H44" s="2"/>
      <c r="I44" s="3" t="s">
        <v>414</v>
      </c>
      <c r="J44" s="2" t="s">
        <v>415</v>
      </c>
      <c r="K44" s="3"/>
      <c r="L44" s="28">
        <v>0.1</v>
      </c>
    </row>
    <row r="45" spans="1:12" ht="50" customHeight="1" x14ac:dyDescent="0.35">
      <c r="A45" s="4">
        <v>1043</v>
      </c>
      <c r="B45" s="4" t="s">
        <v>557</v>
      </c>
      <c r="C45" s="5" t="s">
        <v>558</v>
      </c>
      <c r="D45" s="23" t="s">
        <v>559</v>
      </c>
      <c r="E45" s="23" t="s">
        <v>560</v>
      </c>
      <c r="F45" s="4">
        <v>1</v>
      </c>
      <c r="G45" s="23" t="s">
        <v>561</v>
      </c>
      <c r="H45" s="4"/>
      <c r="I45" s="5" t="s">
        <v>414</v>
      </c>
      <c r="J45" s="4" t="s">
        <v>415</v>
      </c>
      <c r="K45" s="5"/>
      <c r="L45" s="28">
        <v>0.1</v>
      </c>
    </row>
    <row r="46" spans="1:12" ht="50" customHeight="1" x14ac:dyDescent="0.35">
      <c r="A46" s="2">
        <v>1044</v>
      </c>
      <c r="B46" s="2" t="s">
        <v>557</v>
      </c>
      <c r="C46" s="3" t="s">
        <v>558</v>
      </c>
      <c r="D46" s="22" t="s">
        <v>562</v>
      </c>
      <c r="E46" s="22" t="s">
        <v>563</v>
      </c>
      <c r="F46" s="2">
        <v>1</v>
      </c>
      <c r="G46" s="22" t="s">
        <v>564</v>
      </c>
      <c r="H46" s="2"/>
      <c r="I46" s="3" t="s">
        <v>414</v>
      </c>
      <c r="J46" s="2" t="s">
        <v>415</v>
      </c>
      <c r="K46" s="3"/>
      <c r="L46" s="28">
        <v>0.1</v>
      </c>
    </row>
    <row r="47" spans="1:12" ht="50" customHeight="1" x14ac:dyDescent="0.35">
      <c r="A47" s="4">
        <v>1045</v>
      </c>
      <c r="B47" s="4" t="s">
        <v>557</v>
      </c>
      <c r="C47" s="5" t="s">
        <v>558</v>
      </c>
      <c r="D47" s="23" t="s">
        <v>565</v>
      </c>
      <c r="E47" s="23" t="s">
        <v>566</v>
      </c>
      <c r="F47" s="4">
        <v>1</v>
      </c>
      <c r="G47" s="23" t="s">
        <v>567</v>
      </c>
      <c r="H47" s="4"/>
      <c r="I47" s="5" t="s">
        <v>414</v>
      </c>
      <c r="J47" s="4" t="s">
        <v>415</v>
      </c>
      <c r="K47" s="5"/>
      <c r="L47" s="28">
        <v>0.1</v>
      </c>
    </row>
    <row r="48" spans="1:12" ht="50" customHeight="1" x14ac:dyDescent="0.35">
      <c r="A48" s="2">
        <v>1046</v>
      </c>
      <c r="B48" s="2" t="s">
        <v>557</v>
      </c>
      <c r="C48" s="3" t="s">
        <v>558</v>
      </c>
      <c r="D48" s="22" t="s">
        <v>568</v>
      </c>
      <c r="E48" s="22" t="s">
        <v>569</v>
      </c>
      <c r="F48" s="2">
        <v>1</v>
      </c>
      <c r="G48" s="22" t="s">
        <v>570</v>
      </c>
      <c r="H48" s="2"/>
      <c r="I48" s="3" t="s">
        <v>414</v>
      </c>
      <c r="J48" s="2" t="s">
        <v>415</v>
      </c>
      <c r="K48" s="3"/>
      <c r="L48" s="28">
        <v>0.1</v>
      </c>
    </row>
    <row r="49" spans="1:12" ht="50" customHeight="1" x14ac:dyDescent="0.35">
      <c r="A49" s="4">
        <v>1047</v>
      </c>
      <c r="B49" s="4" t="s">
        <v>557</v>
      </c>
      <c r="C49" s="5" t="s">
        <v>558</v>
      </c>
      <c r="D49" s="23" t="s">
        <v>571</v>
      </c>
      <c r="E49" s="23" t="s">
        <v>572</v>
      </c>
      <c r="F49" s="4">
        <v>1</v>
      </c>
      <c r="G49" s="23" t="s">
        <v>573</v>
      </c>
      <c r="H49" s="4"/>
      <c r="I49" s="5" t="s">
        <v>414</v>
      </c>
      <c r="J49" s="4" t="s">
        <v>415</v>
      </c>
      <c r="K49" s="5"/>
      <c r="L49" s="28">
        <v>0.1</v>
      </c>
    </row>
    <row r="50" spans="1:12" ht="50" customHeight="1" x14ac:dyDescent="0.35">
      <c r="A50" s="2">
        <v>1048</v>
      </c>
      <c r="B50" s="2" t="s">
        <v>574</v>
      </c>
      <c r="C50" s="3" t="s">
        <v>575</v>
      </c>
      <c r="D50" s="22" t="s">
        <v>576</v>
      </c>
      <c r="E50" s="22" t="s">
        <v>577</v>
      </c>
      <c r="F50" s="2">
        <v>1</v>
      </c>
      <c r="G50" s="22" t="s">
        <v>578</v>
      </c>
      <c r="H50" s="2"/>
      <c r="I50" s="3" t="s">
        <v>414</v>
      </c>
      <c r="J50" s="2" t="s">
        <v>415</v>
      </c>
      <c r="K50" s="3"/>
      <c r="L50" s="28">
        <v>0.1</v>
      </c>
    </row>
    <row r="51" spans="1:12" ht="50" customHeight="1" x14ac:dyDescent="0.35">
      <c r="A51" s="4">
        <v>1049</v>
      </c>
      <c r="B51" s="4" t="s">
        <v>579</v>
      </c>
      <c r="C51" s="5" t="s">
        <v>580</v>
      </c>
      <c r="D51" s="23" t="s">
        <v>581</v>
      </c>
      <c r="E51" s="23" t="s">
        <v>582</v>
      </c>
      <c r="F51" s="4">
        <v>2</v>
      </c>
      <c r="G51" s="23" t="s">
        <v>583</v>
      </c>
      <c r="H51" s="4" t="s">
        <v>293</v>
      </c>
      <c r="I51" s="5" t="s">
        <v>294</v>
      </c>
      <c r="J51" s="4" t="s">
        <v>415</v>
      </c>
      <c r="K51" s="5"/>
      <c r="L51" s="28">
        <v>0.1</v>
      </c>
    </row>
    <row r="52" spans="1:12" ht="50" customHeight="1" x14ac:dyDescent="0.35">
      <c r="A52" s="2">
        <v>1050</v>
      </c>
      <c r="B52" s="2" t="s">
        <v>579</v>
      </c>
      <c r="C52" s="3" t="s">
        <v>580</v>
      </c>
      <c r="D52" s="22" t="s">
        <v>584</v>
      </c>
      <c r="E52" s="22" t="s">
        <v>585</v>
      </c>
      <c r="F52" s="2">
        <v>3</v>
      </c>
      <c r="G52" s="22" t="s">
        <v>586</v>
      </c>
      <c r="H52" s="2" t="s">
        <v>293</v>
      </c>
      <c r="I52" s="3" t="s">
        <v>294</v>
      </c>
      <c r="J52" s="2" t="s">
        <v>415</v>
      </c>
      <c r="K52" s="3"/>
      <c r="L52" s="28">
        <v>0.1</v>
      </c>
    </row>
    <row r="53" spans="1:12" ht="50" customHeight="1" x14ac:dyDescent="0.35">
      <c r="A53" s="4">
        <v>1051</v>
      </c>
      <c r="B53" s="4" t="s">
        <v>587</v>
      </c>
      <c r="C53" s="5" t="s">
        <v>588</v>
      </c>
      <c r="D53" s="23" t="s">
        <v>589</v>
      </c>
      <c r="E53" s="23" t="s">
        <v>590</v>
      </c>
      <c r="F53" s="4">
        <v>1</v>
      </c>
      <c r="G53" s="23" t="s">
        <v>591</v>
      </c>
      <c r="H53" s="4" t="s">
        <v>318</v>
      </c>
      <c r="I53" s="5" t="s">
        <v>319</v>
      </c>
      <c r="J53" s="4" t="s">
        <v>415</v>
      </c>
      <c r="K53" s="5"/>
      <c r="L53" s="28">
        <v>0.1</v>
      </c>
    </row>
    <row r="54" spans="1:12" ht="50" customHeight="1" x14ac:dyDescent="0.35">
      <c r="A54" s="2">
        <v>1052</v>
      </c>
      <c r="B54" s="2" t="s">
        <v>587</v>
      </c>
      <c r="C54" s="3" t="s">
        <v>588</v>
      </c>
      <c r="D54" s="22" t="s">
        <v>592</v>
      </c>
      <c r="E54" s="22" t="s">
        <v>593</v>
      </c>
      <c r="F54" s="2">
        <v>2</v>
      </c>
      <c r="G54" s="22" t="s">
        <v>594</v>
      </c>
      <c r="H54" s="2" t="s">
        <v>318</v>
      </c>
      <c r="I54" s="3" t="s">
        <v>319</v>
      </c>
      <c r="J54" s="2" t="s">
        <v>415</v>
      </c>
      <c r="K54" s="3"/>
      <c r="L54" s="28">
        <v>0.1</v>
      </c>
    </row>
    <row r="55" spans="1:12" ht="50" customHeight="1" x14ac:dyDescent="0.35">
      <c r="A55" s="4">
        <v>1053</v>
      </c>
      <c r="B55" s="4" t="s">
        <v>587</v>
      </c>
      <c r="C55" s="5" t="s">
        <v>588</v>
      </c>
      <c r="D55" s="23" t="s">
        <v>595</v>
      </c>
      <c r="E55" s="23" t="s">
        <v>596</v>
      </c>
      <c r="F55" s="4">
        <v>1</v>
      </c>
      <c r="G55" s="23" t="s">
        <v>597</v>
      </c>
      <c r="H55" s="4"/>
      <c r="I55" s="5" t="s">
        <v>414</v>
      </c>
      <c r="J55" s="4" t="s">
        <v>415</v>
      </c>
      <c r="K55" s="5"/>
      <c r="L55" s="28">
        <v>0.1</v>
      </c>
    </row>
    <row r="56" spans="1:12" ht="50" customHeight="1" x14ac:dyDescent="0.35">
      <c r="A56" s="2">
        <v>1054</v>
      </c>
      <c r="B56" s="2" t="s">
        <v>587</v>
      </c>
      <c r="C56" s="3" t="s">
        <v>588</v>
      </c>
      <c r="D56" s="22" t="s">
        <v>598</v>
      </c>
      <c r="E56" s="22" t="s">
        <v>599</v>
      </c>
      <c r="F56" s="2">
        <v>1</v>
      </c>
      <c r="G56" s="22" t="s">
        <v>600</v>
      </c>
      <c r="H56" s="2"/>
      <c r="I56" s="3" t="s">
        <v>414</v>
      </c>
      <c r="J56" s="2" t="s">
        <v>415</v>
      </c>
      <c r="K56" s="3"/>
      <c r="L56" s="28">
        <v>0.1</v>
      </c>
    </row>
    <row r="57" spans="1:12" ht="50" customHeight="1" x14ac:dyDescent="0.35">
      <c r="A57" s="4">
        <v>1055</v>
      </c>
      <c r="B57" s="4" t="s">
        <v>587</v>
      </c>
      <c r="C57" s="5" t="s">
        <v>588</v>
      </c>
      <c r="D57" s="23" t="s">
        <v>601</v>
      </c>
      <c r="E57" s="23" t="s">
        <v>602</v>
      </c>
      <c r="F57" s="4">
        <v>1</v>
      </c>
      <c r="G57" s="23" t="s">
        <v>603</v>
      </c>
      <c r="H57" s="4"/>
      <c r="I57" s="5" t="s">
        <v>414</v>
      </c>
      <c r="J57" s="4" t="s">
        <v>415</v>
      </c>
      <c r="K57" s="5"/>
      <c r="L57" s="28">
        <v>0.1</v>
      </c>
    </row>
    <row r="58" spans="1:12" ht="50" customHeight="1" x14ac:dyDescent="0.35">
      <c r="A58" s="2">
        <v>1056</v>
      </c>
      <c r="B58" s="2" t="s">
        <v>587</v>
      </c>
      <c r="C58" s="3" t="s">
        <v>588</v>
      </c>
      <c r="D58" s="22" t="s">
        <v>604</v>
      </c>
      <c r="E58" s="22" t="s">
        <v>605</v>
      </c>
      <c r="F58" s="2">
        <v>1</v>
      </c>
      <c r="G58" s="22" t="s">
        <v>606</v>
      </c>
      <c r="H58" s="2"/>
      <c r="I58" s="3" t="s">
        <v>414</v>
      </c>
      <c r="J58" s="2" t="s">
        <v>415</v>
      </c>
      <c r="K58" s="3"/>
      <c r="L58" s="28">
        <v>0.1</v>
      </c>
    </row>
    <row r="59" spans="1:12" ht="50" customHeight="1" x14ac:dyDescent="0.35">
      <c r="A59" s="4">
        <v>1057</v>
      </c>
      <c r="B59" s="4" t="s">
        <v>587</v>
      </c>
      <c r="C59" s="5" t="s">
        <v>588</v>
      </c>
      <c r="D59" s="23" t="s">
        <v>607</v>
      </c>
      <c r="E59" s="23" t="s">
        <v>608</v>
      </c>
      <c r="F59" s="4">
        <v>1</v>
      </c>
      <c r="G59" s="23" t="s">
        <v>609</v>
      </c>
      <c r="H59" s="4" t="s">
        <v>313</v>
      </c>
      <c r="I59" s="5" t="s">
        <v>314</v>
      </c>
      <c r="J59" s="4" t="s">
        <v>415</v>
      </c>
      <c r="K59" s="5"/>
      <c r="L59" s="28">
        <v>0.1</v>
      </c>
    </row>
    <row r="60" spans="1:12" ht="50" customHeight="1" x14ac:dyDescent="0.35">
      <c r="A60" s="2">
        <v>1058</v>
      </c>
      <c r="B60" s="2" t="s">
        <v>610</v>
      </c>
      <c r="C60" s="3" t="s">
        <v>611</v>
      </c>
      <c r="D60" s="22" t="s">
        <v>612</v>
      </c>
      <c r="E60" s="22" t="s">
        <v>613</v>
      </c>
      <c r="F60" s="2">
        <v>1</v>
      </c>
      <c r="G60" s="22" t="s">
        <v>614</v>
      </c>
      <c r="H60" s="2"/>
      <c r="I60" s="3" t="s">
        <v>414</v>
      </c>
      <c r="J60" s="2" t="s">
        <v>415</v>
      </c>
      <c r="K60" s="3"/>
      <c r="L60" s="28">
        <v>0.1</v>
      </c>
    </row>
    <row r="61" spans="1:12" ht="50" customHeight="1" x14ac:dyDescent="0.35">
      <c r="A61" s="4">
        <v>1059</v>
      </c>
      <c r="B61" s="4" t="s">
        <v>610</v>
      </c>
      <c r="C61" s="5" t="s">
        <v>611</v>
      </c>
      <c r="D61" s="23" t="s">
        <v>615</v>
      </c>
      <c r="E61" s="23" t="s">
        <v>616</v>
      </c>
      <c r="F61" s="4">
        <v>1</v>
      </c>
      <c r="G61" s="23" t="s">
        <v>617</v>
      </c>
      <c r="H61" s="4"/>
      <c r="I61" s="5" t="s">
        <v>414</v>
      </c>
      <c r="J61" s="4" t="s">
        <v>415</v>
      </c>
      <c r="K61" s="5"/>
      <c r="L61" s="28">
        <v>0.1</v>
      </c>
    </row>
    <row r="62" spans="1:12" ht="50" customHeight="1" x14ac:dyDescent="0.35">
      <c r="A62" s="2">
        <v>1060</v>
      </c>
      <c r="B62" s="2" t="s">
        <v>610</v>
      </c>
      <c r="C62" s="3" t="s">
        <v>611</v>
      </c>
      <c r="D62" s="22" t="s">
        <v>618</v>
      </c>
      <c r="E62" s="22" t="s">
        <v>619</v>
      </c>
      <c r="F62" s="2">
        <v>1</v>
      </c>
      <c r="G62" s="22" t="s">
        <v>620</v>
      </c>
      <c r="H62" s="2"/>
      <c r="I62" s="3" t="s">
        <v>414</v>
      </c>
      <c r="J62" s="2" t="s">
        <v>415</v>
      </c>
      <c r="K62" s="3"/>
      <c r="L62" s="28">
        <v>0.1</v>
      </c>
    </row>
    <row r="63" spans="1:12" ht="50" customHeight="1" x14ac:dyDescent="0.35">
      <c r="A63" s="4">
        <v>1061</v>
      </c>
      <c r="B63" s="4" t="s">
        <v>610</v>
      </c>
      <c r="C63" s="5" t="s">
        <v>611</v>
      </c>
      <c r="D63" s="23" t="s">
        <v>621</v>
      </c>
      <c r="E63" s="23" t="s">
        <v>622</v>
      </c>
      <c r="F63" s="4">
        <v>1</v>
      </c>
      <c r="G63" s="23" t="s">
        <v>623</v>
      </c>
      <c r="H63" s="4"/>
      <c r="I63" s="5" t="s">
        <v>414</v>
      </c>
      <c r="J63" s="4" t="s">
        <v>415</v>
      </c>
      <c r="K63" s="5"/>
      <c r="L63" s="28">
        <v>0.1</v>
      </c>
    </row>
    <row r="64" spans="1:12" ht="50" customHeight="1" x14ac:dyDescent="0.35">
      <c r="A64" s="2">
        <v>1062</v>
      </c>
      <c r="B64" s="2" t="s">
        <v>610</v>
      </c>
      <c r="C64" s="3" t="s">
        <v>611</v>
      </c>
      <c r="D64" s="22" t="s">
        <v>624</v>
      </c>
      <c r="E64" s="22" t="s">
        <v>625</v>
      </c>
      <c r="F64" s="2">
        <v>2</v>
      </c>
      <c r="G64" s="22" t="s">
        <v>626</v>
      </c>
      <c r="H64" s="2" t="s">
        <v>298</v>
      </c>
      <c r="I64" s="3" t="s">
        <v>299</v>
      </c>
      <c r="J64" s="2" t="s">
        <v>415</v>
      </c>
      <c r="K64" s="3"/>
      <c r="L64" s="28">
        <v>0.1</v>
      </c>
    </row>
    <row r="65" spans="1:12" ht="50" customHeight="1" x14ac:dyDescent="0.35">
      <c r="A65" s="4">
        <v>1063</v>
      </c>
      <c r="B65" s="4" t="s">
        <v>610</v>
      </c>
      <c r="C65" s="5" t="s">
        <v>611</v>
      </c>
      <c r="D65" s="23" t="s">
        <v>627</v>
      </c>
      <c r="E65" s="23" t="s">
        <v>628</v>
      </c>
      <c r="F65" s="4">
        <v>2</v>
      </c>
      <c r="G65" s="23" t="s">
        <v>629</v>
      </c>
      <c r="H65" s="4"/>
      <c r="I65" s="5" t="s">
        <v>414</v>
      </c>
      <c r="J65" s="4" t="s">
        <v>415</v>
      </c>
      <c r="K65" s="5"/>
      <c r="L65" s="28">
        <v>0.1</v>
      </c>
    </row>
    <row r="66" spans="1:12" ht="50" customHeight="1" x14ac:dyDescent="0.35">
      <c r="A66" s="2">
        <v>1064</v>
      </c>
      <c r="B66" s="2" t="s">
        <v>610</v>
      </c>
      <c r="C66" s="3" t="s">
        <v>611</v>
      </c>
      <c r="D66" s="22" t="s">
        <v>630</v>
      </c>
      <c r="E66" s="22" t="s">
        <v>631</v>
      </c>
      <c r="F66" s="2">
        <v>1</v>
      </c>
      <c r="G66" s="22" t="s">
        <v>632</v>
      </c>
      <c r="H66" s="2" t="s">
        <v>293</v>
      </c>
      <c r="I66" s="3" t="s">
        <v>294</v>
      </c>
      <c r="J66" s="2" t="s">
        <v>415</v>
      </c>
      <c r="K66" s="3"/>
      <c r="L66" s="28">
        <v>0.1</v>
      </c>
    </row>
    <row r="67" spans="1:12" ht="50" customHeight="1" x14ac:dyDescent="0.35">
      <c r="A67" s="4">
        <v>1065</v>
      </c>
      <c r="B67" s="4" t="s">
        <v>610</v>
      </c>
      <c r="C67" s="5" t="s">
        <v>611</v>
      </c>
      <c r="D67" s="23" t="s">
        <v>633</v>
      </c>
      <c r="E67" s="23" t="s">
        <v>634</v>
      </c>
      <c r="F67" s="4">
        <v>2</v>
      </c>
      <c r="G67" s="23" t="s">
        <v>635</v>
      </c>
      <c r="H67" s="4"/>
      <c r="I67" s="5" t="s">
        <v>414</v>
      </c>
      <c r="J67" s="4" t="s">
        <v>415</v>
      </c>
      <c r="K67" s="5"/>
      <c r="L67" s="28">
        <v>0.1</v>
      </c>
    </row>
    <row r="68" spans="1:12" ht="50" customHeight="1" x14ac:dyDescent="0.35">
      <c r="A68" s="2">
        <v>1066</v>
      </c>
      <c r="B68" s="2" t="s">
        <v>610</v>
      </c>
      <c r="C68" s="3" t="s">
        <v>611</v>
      </c>
      <c r="D68" s="22" t="s">
        <v>636</v>
      </c>
      <c r="E68" s="22" t="s">
        <v>637</v>
      </c>
      <c r="F68" s="2">
        <v>1</v>
      </c>
      <c r="G68" s="22" t="s">
        <v>638</v>
      </c>
      <c r="H68" s="2"/>
      <c r="I68" s="3" t="s">
        <v>414</v>
      </c>
      <c r="J68" s="2" t="s">
        <v>415</v>
      </c>
      <c r="K68" s="3"/>
      <c r="L68" s="28">
        <v>0.1</v>
      </c>
    </row>
    <row r="69" spans="1:12" ht="50" customHeight="1" x14ac:dyDescent="0.35">
      <c r="A69" s="4">
        <v>1067</v>
      </c>
      <c r="B69" s="4" t="s">
        <v>610</v>
      </c>
      <c r="C69" s="5" t="s">
        <v>611</v>
      </c>
      <c r="D69" s="23" t="s">
        <v>639</v>
      </c>
      <c r="E69" s="23" t="s">
        <v>640</v>
      </c>
      <c r="F69" s="4">
        <v>1</v>
      </c>
      <c r="G69" s="23" t="s">
        <v>641</v>
      </c>
      <c r="H69" s="4" t="s">
        <v>303</v>
      </c>
      <c r="I69" s="5" t="s">
        <v>304</v>
      </c>
      <c r="J69" s="4" t="s">
        <v>415</v>
      </c>
      <c r="K69" s="5"/>
      <c r="L69" s="28">
        <v>0.1</v>
      </c>
    </row>
    <row r="70" spans="1:12" ht="50" customHeight="1" x14ac:dyDescent="0.35">
      <c r="A70" s="2">
        <v>1068</v>
      </c>
      <c r="B70" s="2" t="s">
        <v>610</v>
      </c>
      <c r="C70" s="3" t="s">
        <v>611</v>
      </c>
      <c r="D70" s="22" t="s">
        <v>642</v>
      </c>
      <c r="E70" s="22" t="s">
        <v>643</v>
      </c>
      <c r="F70" s="2">
        <v>1</v>
      </c>
      <c r="G70" s="22" t="s">
        <v>644</v>
      </c>
      <c r="H70" s="2"/>
      <c r="I70" s="3" t="s">
        <v>414</v>
      </c>
      <c r="J70" s="2" t="s">
        <v>415</v>
      </c>
      <c r="K70" s="3"/>
      <c r="L70" s="28">
        <v>0.1</v>
      </c>
    </row>
    <row r="71" spans="1:12" ht="50" customHeight="1" x14ac:dyDescent="0.35">
      <c r="A71" s="4">
        <v>1069</v>
      </c>
      <c r="B71" s="4" t="s">
        <v>610</v>
      </c>
      <c r="C71" s="5" t="s">
        <v>611</v>
      </c>
      <c r="D71" s="23" t="s">
        <v>645</v>
      </c>
      <c r="E71" s="23" t="s">
        <v>646</v>
      </c>
      <c r="F71" s="4">
        <v>1</v>
      </c>
      <c r="G71" s="23" t="s">
        <v>647</v>
      </c>
      <c r="H71" s="4" t="s">
        <v>293</v>
      </c>
      <c r="I71" s="5" t="s">
        <v>294</v>
      </c>
      <c r="J71" s="4" t="s">
        <v>415</v>
      </c>
      <c r="K71" s="5"/>
      <c r="L71" s="28">
        <v>0.1</v>
      </c>
    </row>
    <row r="72" spans="1:12" ht="50" customHeight="1" x14ac:dyDescent="0.35">
      <c r="A72" s="2">
        <v>1070</v>
      </c>
      <c r="B72" s="2" t="s">
        <v>610</v>
      </c>
      <c r="C72" s="3" t="s">
        <v>611</v>
      </c>
      <c r="D72" s="22" t="s">
        <v>648</v>
      </c>
      <c r="E72" s="22" t="s">
        <v>649</v>
      </c>
      <c r="F72" s="2">
        <v>2</v>
      </c>
      <c r="G72" s="22" t="s">
        <v>650</v>
      </c>
      <c r="H72" s="2"/>
      <c r="I72" s="3" t="s">
        <v>414</v>
      </c>
      <c r="J72" s="2" t="s">
        <v>415</v>
      </c>
      <c r="K72" s="3"/>
      <c r="L72" s="28">
        <v>0.1</v>
      </c>
    </row>
    <row r="73" spans="1:12" ht="50" customHeight="1" x14ac:dyDescent="0.35">
      <c r="A73" s="4">
        <v>1071</v>
      </c>
      <c r="B73" s="4" t="s">
        <v>610</v>
      </c>
      <c r="C73" s="5" t="s">
        <v>611</v>
      </c>
      <c r="D73" s="23" t="s">
        <v>651</v>
      </c>
      <c r="E73" s="23" t="s">
        <v>652</v>
      </c>
      <c r="F73" s="4">
        <v>1</v>
      </c>
      <c r="G73" s="23" t="s">
        <v>653</v>
      </c>
      <c r="H73" s="4" t="s">
        <v>318</v>
      </c>
      <c r="I73" s="5" t="s">
        <v>319</v>
      </c>
      <c r="J73" s="4" t="s">
        <v>415</v>
      </c>
      <c r="K73" s="5"/>
      <c r="L73" s="28">
        <v>0.1</v>
      </c>
    </row>
    <row r="74" spans="1:12" ht="50" customHeight="1" x14ac:dyDescent="0.35">
      <c r="A74" s="2">
        <v>1072</v>
      </c>
      <c r="B74" s="2" t="s">
        <v>610</v>
      </c>
      <c r="C74" s="3" t="s">
        <v>611</v>
      </c>
      <c r="D74" s="22" t="s">
        <v>654</v>
      </c>
      <c r="E74" s="22" t="s">
        <v>655</v>
      </c>
      <c r="F74" s="2">
        <v>2</v>
      </c>
      <c r="G74" s="22" t="s">
        <v>656</v>
      </c>
      <c r="H74" s="2"/>
      <c r="I74" s="3" t="s">
        <v>414</v>
      </c>
      <c r="J74" s="2" t="s">
        <v>415</v>
      </c>
      <c r="K74" s="3"/>
      <c r="L74" s="28">
        <v>0.1</v>
      </c>
    </row>
    <row r="75" spans="1:12" ht="50" customHeight="1" x14ac:dyDescent="0.35">
      <c r="A75" s="4">
        <v>1073</v>
      </c>
      <c r="B75" s="4" t="s">
        <v>657</v>
      </c>
      <c r="C75" s="5" t="s">
        <v>658</v>
      </c>
      <c r="D75" s="23" t="s">
        <v>659</v>
      </c>
      <c r="E75" s="23" t="s">
        <v>660</v>
      </c>
      <c r="F75" s="4">
        <v>1</v>
      </c>
      <c r="G75" s="23" t="s">
        <v>661</v>
      </c>
      <c r="H75" s="4" t="s">
        <v>313</v>
      </c>
      <c r="I75" s="5" t="s">
        <v>314</v>
      </c>
      <c r="J75" s="4" t="s">
        <v>415</v>
      </c>
      <c r="K75" s="5"/>
      <c r="L75" s="28">
        <v>0.1</v>
      </c>
    </row>
    <row r="76" spans="1:12" ht="50" customHeight="1" x14ac:dyDescent="0.35">
      <c r="A76" s="2">
        <v>1074</v>
      </c>
      <c r="B76" s="2" t="s">
        <v>657</v>
      </c>
      <c r="C76" s="3" t="s">
        <v>658</v>
      </c>
      <c r="D76" s="22" t="s">
        <v>662</v>
      </c>
      <c r="E76" s="22" t="s">
        <v>663</v>
      </c>
      <c r="F76" s="2">
        <v>1</v>
      </c>
      <c r="G76" s="22" t="s">
        <v>664</v>
      </c>
      <c r="H76" s="2" t="s">
        <v>298</v>
      </c>
      <c r="I76" s="3" t="s">
        <v>299</v>
      </c>
      <c r="J76" s="2" t="s">
        <v>415</v>
      </c>
      <c r="K76" s="3"/>
      <c r="L76" s="28">
        <v>0.1</v>
      </c>
    </row>
    <row r="77" spans="1:12" ht="50" customHeight="1" x14ac:dyDescent="0.35">
      <c r="A77" s="4">
        <v>1075</v>
      </c>
      <c r="B77" s="4" t="s">
        <v>657</v>
      </c>
      <c r="C77" s="5" t="s">
        <v>658</v>
      </c>
      <c r="D77" s="23" t="s">
        <v>665</v>
      </c>
      <c r="E77" s="23" t="s">
        <v>666</v>
      </c>
      <c r="F77" s="4">
        <v>1</v>
      </c>
      <c r="G77" s="23" t="s">
        <v>667</v>
      </c>
      <c r="H77" s="4" t="s">
        <v>298</v>
      </c>
      <c r="I77" s="5" t="s">
        <v>299</v>
      </c>
      <c r="J77" s="4" t="s">
        <v>415</v>
      </c>
      <c r="K77" s="5"/>
      <c r="L77" s="28">
        <v>0.1</v>
      </c>
    </row>
    <row r="78" spans="1:12" ht="50" customHeight="1" x14ac:dyDescent="0.35">
      <c r="A78" s="2">
        <v>1076</v>
      </c>
      <c r="B78" s="2" t="s">
        <v>657</v>
      </c>
      <c r="C78" s="3" t="s">
        <v>658</v>
      </c>
      <c r="D78" s="22" t="s">
        <v>668</v>
      </c>
      <c r="E78" s="22" t="s">
        <v>669</v>
      </c>
      <c r="F78" s="2">
        <v>1</v>
      </c>
      <c r="G78" s="22" t="s">
        <v>670</v>
      </c>
      <c r="H78" s="2" t="s">
        <v>313</v>
      </c>
      <c r="I78" s="3" t="s">
        <v>314</v>
      </c>
      <c r="J78" s="2" t="s">
        <v>415</v>
      </c>
      <c r="K78" s="3"/>
      <c r="L78" s="28">
        <v>0.1</v>
      </c>
    </row>
    <row r="79" spans="1:12" ht="50" customHeight="1" x14ac:dyDescent="0.35">
      <c r="A79" s="4">
        <v>1077</v>
      </c>
      <c r="B79" s="4" t="s">
        <v>657</v>
      </c>
      <c r="C79" s="5" t="s">
        <v>658</v>
      </c>
      <c r="D79" s="23" t="s">
        <v>671</v>
      </c>
      <c r="E79" s="23" t="s">
        <v>672</v>
      </c>
      <c r="F79" s="4">
        <v>1</v>
      </c>
      <c r="G79" s="23" t="s">
        <v>673</v>
      </c>
      <c r="H79" s="4"/>
      <c r="I79" s="5" t="s">
        <v>414</v>
      </c>
      <c r="J79" s="4" t="s">
        <v>415</v>
      </c>
      <c r="K79" s="5"/>
      <c r="L79" s="28">
        <v>0.1</v>
      </c>
    </row>
    <row r="80" spans="1:12" ht="50" customHeight="1" x14ac:dyDescent="0.35">
      <c r="A80" s="2">
        <v>1078</v>
      </c>
      <c r="B80" s="2" t="s">
        <v>657</v>
      </c>
      <c r="C80" s="3" t="s">
        <v>658</v>
      </c>
      <c r="D80" s="22" t="s">
        <v>674</v>
      </c>
      <c r="E80" s="22" t="s">
        <v>675</v>
      </c>
      <c r="F80" s="2">
        <v>1</v>
      </c>
      <c r="G80" s="22" t="s">
        <v>676</v>
      </c>
      <c r="H80" s="2"/>
      <c r="I80" s="3" t="s">
        <v>414</v>
      </c>
      <c r="J80" s="2" t="s">
        <v>415</v>
      </c>
      <c r="K80" s="3"/>
      <c r="L80" s="28">
        <v>0.1</v>
      </c>
    </row>
    <row r="81" spans="1:12" ht="50" customHeight="1" x14ac:dyDescent="0.35">
      <c r="A81" s="4">
        <v>1079</v>
      </c>
      <c r="B81" s="4" t="s">
        <v>657</v>
      </c>
      <c r="C81" s="5" t="s">
        <v>658</v>
      </c>
      <c r="D81" s="23" t="s">
        <v>677</v>
      </c>
      <c r="E81" s="23" t="s">
        <v>678</v>
      </c>
      <c r="F81" s="4">
        <v>1</v>
      </c>
      <c r="G81" s="23" t="s">
        <v>679</v>
      </c>
      <c r="H81" s="4" t="s">
        <v>298</v>
      </c>
      <c r="I81" s="5" t="s">
        <v>299</v>
      </c>
      <c r="J81" s="4" t="s">
        <v>415</v>
      </c>
      <c r="K81" s="5"/>
      <c r="L81" s="28">
        <v>0.1</v>
      </c>
    </row>
    <row r="82" spans="1:12" ht="50" customHeight="1" x14ac:dyDescent="0.35">
      <c r="A82" s="2">
        <v>1080</v>
      </c>
      <c r="B82" s="2" t="s">
        <v>657</v>
      </c>
      <c r="C82" s="3" t="s">
        <v>658</v>
      </c>
      <c r="D82" s="22" t="s">
        <v>680</v>
      </c>
      <c r="E82" s="22" t="s">
        <v>681</v>
      </c>
      <c r="F82" s="2">
        <v>2</v>
      </c>
      <c r="G82" s="22" t="s">
        <v>682</v>
      </c>
      <c r="H82" s="2"/>
      <c r="I82" s="3" t="s">
        <v>414</v>
      </c>
      <c r="J82" s="2" t="s">
        <v>415</v>
      </c>
      <c r="K82" s="3"/>
      <c r="L82" s="28">
        <v>0.1</v>
      </c>
    </row>
    <row r="83" spans="1:12" ht="50" customHeight="1" x14ac:dyDescent="0.35">
      <c r="A83" s="4">
        <v>1081</v>
      </c>
      <c r="B83" s="4" t="s">
        <v>657</v>
      </c>
      <c r="C83" s="5" t="s">
        <v>658</v>
      </c>
      <c r="D83" s="23" t="s">
        <v>683</v>
      </c>
      <c r="E83" s="23" t="s">
        <v>684</v>
      </c>
      <c r="F83" s="4">
        <v>1</v>
      </c>
      <c r="G83" s="23" t="s">
        <v>685</v>
      </c>
      <c r="H83" s="4"/>
      <c r="I83" s="5" t="s">
        <v>414</v>
      </c>
      <c r="J83" s="4" t="s">
        <v>415</v>
      </c>
      <c r="K83" s="5"/>
      <c r="L83" s="28">
        <v>0.1</v>
      </c>
    </row>
    <row r="84" spans="1:12" ht="50" customHeight="1" x14ac:dyDescent="0.35">
      <c r="A84" s="2">
        <v>1082</v>
      </c>
      <c r="B84" s="2" t="s">
        <v>657</v>
      </c>
      <c r="C84" s="3" t="s">
        <v>658</v>
      </c>
      <c r="D84" s="22" t="s">
        <v>686</v>
      </c>
      <c r="E84" s="22" t="s">
        <v>687</v>
      </c>
      <c r="F84" s="2">
        <v>2</v>
      </c>
      <c r="G84" s="22" t="s">
        <v>688</v>
      </c>
      <c r="H84" s="2"/>
      <c r="I84" s="3" t="s">
        <v>414</v>
      </c>
      <c r="J84" s="2" t="s">
        <v>415</v>
      </c>
      <c r="K84" s="3"/>
      <c r="L84" s="28">
        <v>0.1</v>
      </c>
    </row>
    <row r="85" spans="1:12" ht="50" customHeight="1" x14ac:dyDescent="0.35">
      <c r="A85" s="4">
        <v>1083</v>
      </c>
      <c r="B85" s="4" t="s">
        <v>657</v>
      </c>
      <c r="C85" s="5" t="s">
        <v>658</v>
      </c>
      <c r="D85" s="23" t="s">
        <v>689</v>
      </c>
      <c r="E85" s="23" t="s">
        <v>690</v>
      </c>
      <c r="F85" s="4">
        <v>2</v>
      </c>
      <c r="G85" s="23" t="s">
        <v>691</v>
      </c>
      <c r="H85" s="4" t="s">
        <v>333</v>
      </c>
      <c r="I85" s="5" t="s">
        <v>334</v>
      </c>
      <c r="J85" s="4" t="s">
        <v>415</v>
      </c>
      <c r="K85" s="5"/>
      <c r="L85" s="28">
        <v>0.1</v>
      </c>
    </row>
    <row r="86" spans="1:12" ht="50" customHeight="1" x14ac:dyDescent="0.35">
      <c r="A86" s="2">
        <v>1084</v>
      </c>
      <c r="B86" s="2" t="s">
        <v>657</v>
      </c>
      <c r="C86" s="3" t="s">
        <v>658</v>
      </c>
      <c r="D86" s="22" t="s">
        <v>692</v>
      </c>
      <c r="E86" s="22" t="s">
        <v>693</v>
      </c>
      <c r="F86" s="2">
        <v>2</v>
      </c>
      <c r="G86" s="22" t="s">
        <v>694</v>
      </c>
      <c r="H86" s="2"/>
      <c r="I86" s="3" t="s">
        <v>414</v>
      </c>
      <c r="J86" s="2" t="s">
        <v>415</v>
      </c>
      <c r="K86" s="3"/>
      <c r="L86" s="28">
        <v>0.1</v>
      </c>
    </row>
    <row r="87" spans="1:12" ht="50" customHeight="1" x14ac:dyDescent="0.35">
      <c r="A87" s="4">
        <v>1085</v>
      </c>
      <c r="B87" s="4" t="s">
        <v>657</v>
      </c>
      <c r="C87" s="5" t="s">
        <v>658</v>
      </c>
      <c r="D87" s="23" t="s">
        <v>695</v>
      </c>
      <c r="E87" s="23" t="s">
        <v>696</v>
      </c>
      <c r="F87" s="4">
        <v>1</v>
      </c>
      <c r="G87" s="23" t="s">
        <v>697</v>
      </c>
      <c r="H87" s="4" t="s">
        <v>298</v>
      </c>
      <c r="I87" s="5" t="s">
        <v>299</v>
      </c>
      <c r="J87" s="4" t="s">
        <v>415</v>
      </c>
      <c r="K87" s="5"/>
      <c r="L87" s="28">
        <v>0.1</v>
      </c>
    </row>
    <row r="88" spans="1:12" ht="50" customHeight="1" x14ac:dyDescent="0.35">
      <c r="A88" s="2">
        <v>1086</v>
      </c>
      <c r="B88" s="2" t="s">
        <v>657</v>
      </c>
      <c r="C88" s="3" t="s">
        <v>658</v>
      </c>
      <c r="D88" s="22" t="s">
        <v>698</v>
      </c>
      <c r="E88" s="22" t="s">
        <v>699</v>
      </c>
      <c r="F88" s="2">
        <v>3</v>
      </c>
      <c r="G88" s="22" t="s">
        <v>700</v>
      </c>
      <c r="H88" s="2"/>
      <c r="I88" s="3" t="s">
        <v>414</v>
      </c>
      <c r="J88" s="2" t="s">
        <v>415</v>
      </c>
      <c r="K88" s="3"/>
      <c r="L88" s="28">
        <v>0.1</v>
      </c>
    </row>
    <row r="89" spans="1:12" ht="50" customHeight="1" x14ac:dyDescent="0.35">
      <c r="A89" s="4">
        <v>1087</v>
      </c>
      <c r="B89" s="4" t="s">
        <v>657</v>
      </c>
      <c r="C89" s="5" t="s">
        <v>658</v>
      </c>
      <c r="D89" s="23" t="s">
        <v>701</v>
      </c>
      <c r="E89" s="23" t="s">
        <v>702</v>
      </c>
      <c r="F89" s="4">
        <v>1</v>
      </c>
      <c r="G89" s="23" t="s">
        <v>703</v>
      </c>
      <c r="H89" s="4"/>
      <c r="I89" s="5" t="s">
        <v>414</v>
      </c>
      <c r="J89" s="4" t="s">
        <v>415</v>
      </c>
      <c r="K89" s="5"/>
      <c r="L89" s="28">
        <v>0.1</v>
      </c>
    </row>
    <row r="90" spans="1:12" ht="50" customHeight="1" x14ac:dyDescent="0.35">
      <c r="A90" s="2">
        <v>1088</v>
      </c>
      <c r="B90" s="2" t="s">
        <v>657</v>
      </c>
      <c r="C90" s="3" t="s">
        <v>658</v>
      </c>
      <c r="D90" s="22" t="s">
        <v>704</v>
      </c>
      <c r="E90" s="22" t="s">
        <v>705</v>
      </c>
      <c r="F90" s="2">
        <v>1</v>
      </c>
      <c r="G90" s="22" t="s">
        <v>706</v>
      </c>
      <c r="H90" s="2" t="s">
        <v>303</v>
      </c>
      <c r="I90" s="3" t="s">
        <v>304</v>
      </c>
      <c r="J90" s="2" t="s">
        <v>415</v>
      </c>
      <c r="K90" s="3"/>
      <c r="L90" s="28">
        <v>0.1</v>
      </c>
    </row>
    <row r="91" spans="1:12" ht="50" customHeight="1" x14ac:dyDescent="0.35">
      <c r="A91" s="4">
        <v>1089</v>
      </c>
      <c r="B91" s="4" t="s">
        <v>657</v>
      </c>
      <c r="C91" s="5" t="s">
        <v>658</v>
      </c>
      <c r="D91" s="23" t="s">
        <v>707</v>
      </c>
      <c r="E91" s="23" t="s">
        <v>708</v>
      </c>
      <c r="F91" s="4">
        <v>1</v>
      </c>
      <c r="G91" s="23" t="s">
        <v>709</v>
      </c>
      <c r="H91" s="4"/>
      <c r="I91" s="5" t="s">
        <v>414</v>
      </c>
      <c r="J91" s="4" t="s">
        <v>415</v>
      </c>
      <c r="K91" s="5"/>
      <c r="L91" s="28">
        <v>0.1</v>
      </c>
    </row>
    <row r="92" spans="1:12" ht="50" customHeight="1" x14ac:dyDescent="0.35">
      <c r="A92" s="2">
        <v>1090</v>
      </c>
      <c r="B92" s="2" t="s">
        <v>657</v>
      </c>
      <c r="C92" s="3" t="s">
        <v>658</v>
      </c>
      <c r="D92" s="22" t="s">
        <v>710</v>
      </c>
      <c r="E92" s="22" t="s">
        <v>711</v>
      </c>
      <c r="F92" s="2">
        <v>3</v>
      </c>
      <c r="G92" s="22" t="s">
        <v>712</v>
      </c>
      <c r="H92" s="2"/>
      <c r="I92" s="3" t="s">
        <v>414</v>
      </c>
      <c r="J92" s="2" t="s">
        <v>415</v>
      </c>
      <c r="K92" s="3"/>
      <c r="L92" s="28">
        <v>0.1</v>
      </c>
    </row>
    <row r="93" spans="1:12" ht="50" customHeight="1" x14ac:dyDescent="0.35">
      <c r="A93" s="4">
        <v>1091</v>
      </c>
      <c r="B93" s="4" t="s">
        <v>713</v>
      </c>
      <c r="C93" s="5" t="s">
        <v>714</v>
      </c>
      <c r="D93" s="23" t="s">
        <v>715</v>
      </c>
      <c r="E93" s="23" t="s">
        <v>716</v>
      </c>
      <c r="F93" s="4">
        <v>1</v>
      </c>
      <c r="G93" s="23" t="s">
        <v>717</v>
      </c>
      <c r="H93" s="4"/>
      <c r="I93" s="5" t="s">
        <v>414</v>
      </c>
      <c r="J93" s="4" t="s">
        <v>415</v>
      </c>
      <c r="K93" s="5"/>
      <c r="L93" s="28">
        <v>0.1</v>
      </c>
    </row>
    <row r="94" spans="1:12" ht="50" customHeight="1" x14ac:dyDescent="0.35">
      <c r="A94" s="2">
        <v>1092</v>
      </c>
      <c r="B94" s="2" t="s">
        <v>713</v>
      </c>
      <c r="C94" s="3" t="s">
        <v>714</v>
      </c>
      <c r="D94" s="22" t="s">
        <v>718</v>
      </c>
      <c r="E94" s="22" t="s">
        <v>719</v>
      </c>
      <c r="F94" s="2">
        <v>2</v>
      </c>
      <c r="G94" s="22" t="s">
        <v>720</v>
      </c>
      <c r="H94" s="2" t="s">
        <v>293</v>
      </c>
      <c r="I94" s="3" t="s">
        <v>294</v>
      </c>
      <c r="J94" s="2" t="s">
        <v>415</v>
      </c>
      <c r="K94" s="3"/>
      <c r="L94" s="28">
        <v>0.1</v>
      </c>
    </row>
    <row r="95" spans="1:12" ht="50" customHeight="1" x14ac:dyDescent="0.35">
      <c r="A95" s="4">
        <v>1093</v>
      </c>
      <c r="B95" s="4" t="s">
        <v>713</v>
      </c>
      <c r="C95" s="5" t="s">
        <v>714</v>
      </c>
      <c r="D95" s="23" t="s">
        <v>721</v>
      </c>
      <c r="E95" s="23" t="s">
        <v>722</v>
      </c>
      <c r="F95" s="4">
        <v>2</v>
      </c>
      <c r="G95" s="23" t="s">
        <v>723</v>
      </c>
      <c r="H95" s="4" t="s">
        <v>293</v>
      </c>
      <c r="I95" s="5" t="s">
        <v>294</v>
      </c>
      <c r="J95" s="4" t="s">
        <v>415</v>
      </c>
      <c r="K95" s="5"/>
      <c r="L95" s="28">
        <v>0.1</v>
      </c>
    </row>
    <row r="96" spans="1:12" ht="50" customHeight="1" x14ac:dyDescent="0.35">
      <c r="A96" s="2">
        <v>1094</v>
      </c>
      <c r="B96" s="2" t="s">
        <v>713</v>
      </c>
      <c r="C96" s="3" t="s">
        <v>714</v>
      </c>
      <c r="D96" s="22" t="s">
        <v>724</v>
      </c>
      <c r="E96" s="22" t="s">
        <v>725</v>
      </c>
      <c r="F96" s="2">
        <v>2</v>
      </c>
      <c r="G96" s="22" t="s">
        <v>726</v>
      </c>
      <c r="H96" s="2"/>
      <c r="I96" s="3" t="s">
        <v>414</v>
      </c>
      <c r="J96" s="2" t="s">
        <v>415</v>
      </c>
      <c r="K96" s="3"/>
      <c r="L96" s="28">
        <v>0.1</v>
      </c>
    </row>
    <row r="97" spans="1:12" ht="50" customHeight="1" x14ac:dyDescent="0.35">
      <c r="A97" s="4">
        <v>1095</v>
      </c>
      <c r="B97" s="4" t="s">
        <v>713</v>
      </c>
      <c r="C97" s="5" t="s">
        <v>714</v>
      </c>
      <c r="D97" s="23" t="s">
        <v>727</v>
      </c>
      <c r="E97" s="23" t="s">
        <v>728</v>
      </c>
      <c r="F97" s="4">
        <v>2</v>
      </c>
      <c r="G97" s="23" t="s">
        <v>729</v>
      </c>
      <c r="H97" s="4"/>
      <c r="I97" s="5" t="s">
        <v>414</v>
      </c>
      <c r="J97" s="4" t="s">
        <v>415</v>
      </c>
      <c r="K97" s="5"/>
      <c r="L97" s="28">
        <v>0.1</v>
      </c>
    </row>
    <row r="98" spans="1:12" ht="50" customHeight="1" x14ac:dyDescent="0.35">
      <c r="A98" s="2">
        <v>1096</v>
      </c>
      <c r="B98" s="2" t="s">
        <v>713</v>
      </c>
      <c r="C98" s="3" t="s">
        <v>714</v>
      </c>
      <c r="D98" s="22" t="s">
        <v>730</v>
      </c>
      <c r="E98" s="22" t="s">
        <v>731</v>
      </c>
      <c r="F98" s="2">
        <v>2</v>
      </c>
      <c r="G98" s="22" t="s">
        <v>732</v>
      </c>
      <c r="H98" s="2"/>
      <c r="I98" s="3" t="s">
        <v>414</v>
      </c>
      <c r="J98" s="2" t="s">
        <v>415</v>
      </c>
      <c r="K98" s="3"/>
      <c r="L98" s="28">
        <v>0.1</v>
      </c>
    </row>
    <row r="99" spans="1:12" ht="50" customHeight="1" x14ac:dyDescent="0.35">
      <c r="A99" s="4">
        <v>1097</v>
      </c>
      <c r="B99" s="4" t="s">
        <v>713</v>
      </c>
      <c r="C99" s="5" t="s">
        <v>714</v>
      </c>
      <c r="D99" s="23" t="s">
        <v>733</v>
      </c>
      <c r="E99" s="23" t="s">
        <v>734</v>
      </c>
      <c r="F99" s="4">
        <v>2</v>
      </c>
      <c r="G99" s="23" t="s">
        <v>735</v>
      </c>
      <c r="H99" s="4"/>
      <c r="I99" s="5" t="s">
        <v>414</v>
      </c>
      <c r="J99" s="4" t="s">
        <v>415</v>
      </c>
      <c r="K99" s="5"/>
      <c r="L99" s="28">
        <v>0.1</v>
      </c>
    </row>
    <row r="100" spans="1:12" ht="50" customHeight="1" x14ac:dyDescent="0.35">
      <c r="A100" s="2">
        <v>1098</v>
      </c>
      <c r="B100" s="2" t="s">
        <v>713</v>
      </c>
      <c r="C100" s="3" t="s">
        <v>714</v>
      </c>
      <c r="D100" s="22" t="s">
        <v>736</v>
      </c>
      <c r="E100" s="22" t="s">
        <v>737</v>
      </c>
      <c r="F100" s="2">
        <v>2</v>
      </c>
      <c r="G100" s="22" t="s">
        <v>703</v>
      </c>
      <c r="H100" s="2"/>
      <c r="I100" s="3" t="s">
        <v>414</v>
      </c>
      <c r="J100" s="2" t="s">
        <v>415</v>
      </c>
      <c r="K100" s="3"/>
      <c r="L100" s="28">
        <v>0.1</v>
      </c>
    </row>
    <row r="101" spans="1:12" ht="50" customHeight="1" x14ac:dyDescent="0.35">
      <c r="A101" s="4">
        <v>1099</v>
      </c>
      <c r="B101" s="4" t="s">
        <v>713</v>
      </c>
      <c r="C101" s="5" t="s">
        <v>714</v>
      </c>
      <c r="D101" s="23" t="s">
        <v>738</v>
      </c>
      <c r="E101" s="23" t="s">
        <v>739</v>
      </c>
      <c r="F101" s="4">
        <v>2</v>
      </c>
      <c r="G101" s="23" t="s">
        <v>740</v>
      </c>
      <c r="H101" s="4"/>
      <c r="I101" s="5" t="s">
        <v>414</v>
      </c>
      <c r="J101" s="4" t="s">
        <v>415</v>
      </c>
      <c r="K101" s="5"/>
      <c r="L101" s="28">
        <v>0.1</v>
      </c>
    </row>
    <row r="102" spans="1:12" ht="50" customHeight="1" x14ac:dyDescent="0.35">
      <c r="A102" s="2">
        <v>1100</v>
      </c>
      <c r="B102" s="2" t="s">
        <v>713</v>
      </c>
      <c r="C102" s="3" t="s">
        <v>714</v>
      </c>
      <c r="D102" s="22" t="s">
        <v>741</v>
      </c>
      <c r="E102" s="22" t="s">
        <v>742</v>
      </c>
      <c r="F102" s="2">
        <v>2</v>
      </c>
      <c r="G102" s="22" t="s">
        <v>743</v>
      </c>
      <c r="H102" s="2"/>
      <c r="I102" s="3" t="s">
        <v>414</v>
      </c>
      <c r="J102" s="2" t="s">
        <v>415</v>
      </c>
      <c r="K102" s="3"/>
      <c r="L102" s="28">
        <v>0.1</v>
      </c>
    </row>
    <row r="103" spans="1:12" ht="50" customHeight="1" x14ac:dyDescent="0.35">
      <c r="A103" s="4">
        <v>1101</v>
      </c>
      <c r="B103" s="4" t="s">
        <v>713</v>
      </c>
      <c r="C103" s="5" t="s">
        <v>714</v>
      </c>
      <c r="D103" s="23" t="s">
        <v>744</v>
      </c>
      <c r="E103" s="23" t="s">
        <v>745</v>
      </c>
      <c r="F103" s="4">
        <v>1</v>
      </c>
      <c r="G103" s="23" t="s">
        <v>746</v>
      </c>
      <c r="H103" s="4"/>
      <c r="I103" s="5" t="s">
        <v>414</v>
      </c>
      <c r="J103" s="4" t="s">
        <v>415</v>
      </c>
      <c r="K103" s="5"/>
      <c r="L103" s="28">
        <v>0.1</v>
      </c>
    </row>
    <row r="104" spans="1:12" ht="50" customHeight="1" x14ac:dyDescent="0.35">
      <c r="A104" s="2">
        <v>1102</v>
      </c>
      <c r="B104" s="2" t="s">
        <v>713</v>
      </c>
      <c r="C104" s="3" t="s">
        <v>714</v>
      </c>
      <c r="D104" s="22" t="s">
        <v>747</v>
      </c>
      <c r="E104" s="22" t="s">
        <v>748</v>
      </c>
      <c r="F104" s="2">
        <v>1</v>
      </c>
      <c r="G104" s="22" t="s">
        <v>749</v>
      </c>
      <c r="H104" s="2"/>
      <c r="I104" s="3" t="s">
        <v>414</v>
      </c>
      <c r="J104" s="2" t="s">
        <v>415</v>
      </c>
      <c r="K104" s="3"/>
      <c r="L104" s="28">
        <v>0.1</v>
      </c>
    </row>
    <row r="105" spans="1:12" ht="50" customHeight="1" x14ac:dyDescent="0.35">
      <c r="A105" s="4">
        <v>1103</v>
      </c>
      <c r="B105" s="4" t="s">
        <v>713</v>
      </c>
      <c r="C105" s="5" t="s">
        <v>714</v>
      </c>
      <c r="D105" s="23" t="s">
        <v>750</v>
      </c>
      <c r="E105" s="23" t="s">
        <v>751</v>
      </c>
      <c r="F105" s="4">
        <v>2</v>
      </c>
      <c r="G105" s="23" t="s">
        <v>752</v>
      </c>
      <c r="H105" s="4" t="s">
        <v>293</v>
      </c>
      <c r="I105" s="5" t="s">
        <v>294</v>
      </c>
      <c r="J105" s="4" t="s">
        <v>415</v>
      </c>
      <c r="K105" s="5"/>
      <c r="L105" s="28">
        <v>0.1</v>
      </c>
    </row>
    <row r="106" spans="1:12" ht="50" customHeight="1" x14ac:dyDescent="0.35">
      <c r="A106" s="2">
        <v>1104</v>
      </c>
      <c r="B106" s="2" t="s">
        <v>713</v>
      </c>
      <c r="C106" s="3" t="s">
        <v>714</v>
      </c>
      <c r="D106" s="22" t="s">
        <v>753</v>
      </c>
      <c r="E106" s="22" t="s">
        <v>754</v>
      </c>
      <c r="F106" s="2">
        <v>2</v>
      </c>
      <c r="G106" s="22" t="s">
        <v>755</v>
      </c>
      <c r="H106" s="2"/>
      <c r="I106" s="3" t="s">
        <v>414</v>
      </c>
      <c r="J106" s="2" t="s">
        <v>415</v>
      </c>
      <c r="K106" s="3"/>
      <c r="L106" s="28">
        <v>0.1</v>
      </c>
    </row>
    <row r="107" spans="1:12" ht="50" customHeight="1" x14ac:dyDescent="0.35">
      <c r="A107" s="4">
        <v>1105</v>
      </c>
      <c r="B107" s="4" t="s">
        <v>713</v>
      </c>
      <c r="C107" s="5" t="s">
        <v>714</v>
      </c>
      <c r="D107" s="23" t="s">
        <v>756</v>
      </c>
      <c r="E107" s="23" t="s">
        <v>757</v>
      </c>
      <c r="F107" s="4">
        <v>2</v>
      </c>
      <c r="G107" s="23" t="s">
        <v>758</v>
      </c>
      <c r="H107" s="4"/>
      <c r="I107" s="5" t="s">
        <v>414</v>
      </c>
      <c r="J107" s="4" t="s">
        <v>415</v>
      </c>
      <c r="K107" s="5"/>
      <c r="L107" s="28">
        <v>0.1</v>
      </c>
    </row>
    <row r="108" spans="1:12" ht="50" customHeight="1" x14ac:dyDescent="0.35">
      <c r="A108" s="2">
        <v>1106</v>
      </c>
      <c r="B108" s="2" t="s">
        <v>713</v>
      </c>
      <c r="C108" s="3" t="s">
        <v>714</v>
      </c>
      <c r="D108" s="22" t="s">
        <v>759</v>
      </c>
      <c r="E108" s="22" t="s">
        <v>760</v>
      </c>
      <c r="F108" s="2">
        <v>2</v>
      </c>
      <c r="G108" s="22" t="s">
        <v>761</v>
      </c>
      <c r="H108" s="2"/>
      <c r="I108" s="3" t="s">
        <v>414</v>
      </c>
      <c r="J108" s="2" t="s">
        <v>415</v>
      </c>
      <c r="K108" s="3"/>
      <c r="L108" s="28">
        <v>0.1</v>
      </c>
    </row>
    <row r="109" spans="1:12" ht="50" customHeight="1" x14ac:dyDescent="0.35">
      <c r="A109" s="4">
        <v>1107</v>
      </c>
      <c r="B109" s="4" t="s">
        <v>713</v>
      </c>
      <c r="C109" s="5" t="s">
        <v>714</v>
      </c>
      <c r="D109" s="23" t="s">
        <v>762</v>
      </c>
      <c r="E109" s="23" t="s">
        <v>763</v>
      </c>
      <c r="F109" s="4">
        <v>1</v>
      </c>
      <c r="G109" s="23" t="s">
        <v>764</v>
      </c>
      <c r="H109" s="4" t="s">
        <v>318</v>
      </c>
      <c r="I109" s="5" t="s">
        <v>319</v>
      </c>
      <c r="J109" s="4" t="s">
        <v>415</v>
      </c>
      <c r="K109" s="5"/>
      <c r="L109" s="28">
        <v>0.1</v>
      </c>
    </row>
    <row r="110" spans="1:12" ht="50" customHeight="1" x14ac:dyDescent="0.35">
      <c r="A110" s="2">
        <v>1108</v>
      </c>
      <c r="B110" s="2" t="s">
        <v>713</v>
      </c>
      <c r="C110" s="3" t="s">
        <v>714</v>
      </c>
      <c r="D110" s="22" t="s">
        <v>765</v>
      </c>
      <c r="E110" s="22" t="s">
        <v>766</v>
      </c>
      <c r="F110" s="2">
        <v>1</v>
      </c>
      <c r="G110" s="22" t="s">
        <v>767</v>
      </c>
      <c r="H110" s="2"/>
      <c r="I110" s="3" t="s">
        <v>414</v>
      </c>
      <c r="J110" s="2" t="s">
        <v>415</v>
      </c>
      <c r="K110" s="3"/>
      <c r="L110" s="28">
        <v>0.1</v>
      </c>
    </row>
    <row r="111" spans="1:12" ht="50" customHeight="1" x14ac:dyDescent="0.35">
      <c r="A111" s="4">
        <v>1109</v>
      </c>
      <c r="B111" s="4" t="s">
        <v>713</v>
      </c>
      <c r="C111" s="5" t="s">
        <v>714</v>
      </c>
      <c r="D111" s="23" t="s">
        <v>768</v>
      </c>
      <c r="E111" s="23" t="s">
        <v>769</v>
      </c>
      <c r="F111" s="4">
        <v>2</v>
      </c>
      <c r="G111" s="23" t="s">
        <v>770</v>
      </c>
      <c r="H111" s="4" t="s">
        <v>313</v>
      </c>
      <c r="I111" s="5" t="s">
        <v>314</v>
      </c>
      <c r="J111" s="4" t="s">
        <v>415</v>
      </c>
      <c r="K111" s="5"/>
      <c r="L111" s="28">
        <v>0.1</v>
      </c>
    </row>
    <row r="112" spans="1:12" ht="50" customHeight="1" x14ac:dyDescent="0.35">
      <c r="A112" s="2">
        <v>1110</v>
      </c>
      <c r="B112" s="2" t="s">
        <v>713</v>
      </c>
      <c r="C112" s="3" t="s">
        <v>714</v>
      </c>
      <c r="D112" s="22" t="s">
        <v>771</v>
      </c>
      <c r="E112" s="22" t="s">
        <v>772</v>
      </c>
      <c r="F112" s="2">
        <v>2</v>
      </c>
      <c r="G112" s="22" t="s">
        <v>773</v>
      </c>
      <c r="H112" s="2"/>
      <c r="I112" s="3" t="s">
        <v>414</v>
      </c>
      <c r="J112" s="2" t="s">
        <v>415</v>
      </c>
      <c r="K112" s="3"/>
      <c r="L112" s="28">
        <v>0.1</v>
      </c>
    </row>
    <row r="113" spans="1:12" ht="50" customHeight="1" x14ac:dyDescent="0.35">
      <c r="A113" s="4">
        <v>1111</v>
      </c>
      <c r="B113" s="4" t="s">
        <v>713</v>
      </c>
      <c r="C113" s="5" t="s">
        <v>714</v>
      </c>
      <c r="D113" s="23" t="s">
        <v>774</v>
      </c>
      <c r="E113" s="23" t="s">
        <v>775</v>
      </c>
      <c r="F113" s="4">
        <v>2</v>
      </c>
      <c r="G113" s="23" t="s">
        <v>776</v>
      </c>
      <c r="H113" s="4"/>
      <c r="I113" s="5" t="s">
        <v>414</v>
      </c>
      <c r="J113" s="4" t="s">
        <v>415</v>
      </c>
      <c r="K113" s="5"/>
      <c r="L113" s="28">
        <v>0.1</v>
      </c>
    </row>
    <row r="114" spans="1:12" ht="50" customHeight="1" x14ac:dyDescent="0.35">
      <c r="A114" s="2">
        <v>1112</v>
      </c>
      <c r="B114" s="2" t="s">
        <v>713</v>
      </c>
      <c r="C114" s="3" t="s">
        <v>714</v>
      </c>
      <c r="D114" s="22" t="s">
        <v>777</v>
      </c>
      <c r="E114" s="22" t="s">
        <v>778</v>
      </c>
      <c r="F114" s="2">
        <v>2</v>
      </c>
      <c r="G114" s="22" t="s">
        <v>779</v>
      </c>
      <c r="H114" s="2"/>
      <c r="I114" s="3" t="s">
        <v>414</v>
      </c>
      <c r="J114" s="2" t="s">
        <v>415</v>
      </c>
      <c r="K114" s="3"/>
      <c r="L114" s="28">
        <v>0.1</v>
      </c>
    </row>
    <row r="115" spans="1:12" ht="50" customHeight="1" x14ac:dyDescent="0.35">
      <c r="A115" s="4">
        <v>1113</v>
      </c>
      <c r="B115" s="4" t="s">
        <v>713</v>
      </c>
      <c r="C115" s="5" t="s">
        <v>714</v>
      </c>
      <c r="D115" s="23" t="s">
        <v>780</v>
      </c>
      <c r="E115" s="23" t="s">
        <v>781</v>
      </c>
      <c r="F115" s="4">
        <v>2</v>
      </c>
      <c r="G115" s="23" t="s">
        <v>782</v>
      </c>
      <c r="H115" s="4"/>
      <c r="I115" s="5" t="s">
        <v>414</v>
      </c>
      <c r="J115" s="4" t="s">
        <v>415</v>
      </c>
      <c r="K115" s="5"/>
      <c r="L115" s="28">
        <v>0.1</v>
      </c>
    </row>
    <row r="116" spans="1:12" ht="50" customHeight="1" x14ac:dyDescent="0.35">
      <c r="A116" s="2">
        <v>1114</v>
      </c>
      <c r="B116" s="2" t="s">
        <v>713</v>
      </c>
      <c r="C116" s="3" t="s">
        <v>714</v>
      </c>
      <c r="D116" s="22" t="s">
        <v>783</v>
      </c>
      <c r="E116" s="22" t="s">
        <v>784</v>
      </c>
      <c r="F116" s="2">
        <v>2</v>
      </c>
      <c r="G116" s="22" t="s">
        <v>785</v>
      </c>
      <c r="H116" s="2"/>
      <c r="I116" s="3" t="s">
        <v>414</v>
      </c>
      <c r="J116" s="2" t="s">
        <v>415</v>
      </c>
      <c r="K116" s="3"/>
      <c r="L116" s="28">
        <v>0.1</v>
      </c>
    </row>
    <row r="117" spans="1:12" ht="50" customHeight="1" x14ac:dyDescent="0.35">
      <c r="A117" s="4">
        <v>1115</v>
      </c>
      <c r="B117" s="4" t="s">
        <v>713</v>
      </c>
      <c r="C117" s="5" t="s">
        <v>714</v>
      </c>
      <c r="D117" s="23" t="s">
        <v>786</v>
      </c>
      <c r="E117" s="23" t="s">
        <v>787</v>
      </c>
      <c r="F117" s="4">
        <v>2</v>
      </c>
      <c r="G117" s="23" t="s">
        <v>788</v>
      </c>
      <c r="H117" s="4"/>
      <c r="I117" s="5" t="s">
        <v>414</v>
      </c>
      <c r="J117" s="4" t="s">
        <v>415</v>
      </c>
      <c r="K117" s="5"/>
      <c r="L117" s="28">
        <v>0.1</v>
      </c>
    </row>
    <row r="118" spans="1:12" ht="50" customHeight="1" x14ac:dyDescent="0.35">
      <c r="A118" s="2">
        <v>1116</v>
      </c>
      <c r="B118" s="2" t="s">
        <v>713</v>
      </c>
      <c r="C118" s="3" t="s">
        <v>714</v>
      </c>
      <c r="D118" s="22" t="s">
        <v>789</v>
      </c>
      <c r="E118" s="22" t="s">
        <v>790</v>
      </c>
      <c r="F118" s="2">
        <v>2</v>
      </c>
      <c r="G118" s="22" t="s">
        <v>791</v>
      </c>
      <c r="H118" s="2"/>
      <c r="I118" s="3" t="s">
        <v>414</v>
      </c>
      <c r="J118" s="2" t="s">
        <v>415</v>
      </c>
      <c r="K118" s="3"/>
      <c r="L118" s="28">
        <v>0.1</v>
      </c>
    </row>
    <row r="119" spans="1:12" ht="50" customHeight="1" x14ac:dyDescent="0.35">
      <c r="A119" s="4">
        <v>1117</v>
      </c>
      <c r="B119" s="4" t="s">
        <v>713</v>
      </c>
      <c r="C119" s="5" t="s">
        <v>714</v>
      </c>
      <c r="D119" s="23" t="s">
        <v>792</v>
      </c>
      <c r="E119" s="23" t="s">
        <v>793</v>
      </c>
      <c r="F119" s="4">
        <v>1</v>
      </c>
      <c r="G119" s="23" t="s">
        <v>794</v>
      </c>
      <c r="H119" s="4"/>
      <c r="I119" s="5" t="s">
        <v>414</v>
      </c>
      <c r="J119" s="4" t="s">
        <v>415</v>
      </c>
      <c r="K119" s="5"/>
      <c r="L119" s="28">
        <v>0.1</v>
      </c>
    </row>
    <row r="120" spans="1:12" ht="50" customHeight="1" x14ac:dyDescent="0.35">
      <c r="A120" s="2">
        <v>1118</v>
      </c>
      <c r="B120" s="2" t="s">
        <v>713</v>
      </c>
      <c r="C120" s="3" t="s">
        <v>714</v>
      </c>
      <c r="D120" s="22" t="s">
        <v>795</v>
      </c>
      <c r="E120" s="22" t="s">
        <v>796</v>
      </c>
      <c r="F120" s="2">
        <v>2</v>
      </c>
      <c r="G120" s="22" t="s">
        <v>797</v>
      </c>
      <c r="H120" s="2"/>
      <c r="I120" s="3" t="s">
        <v>414</v>
      </c>
      <c r="J120" s="2" t="s">
        <v>415</v>
      </c>
      <c r="K120" s="3"/>
      <c r="L120" s="28">
        <v>0.1</v>
      </c>
    </row>
    <row r="121" spans="1:12" ht="50" customHeight="1" x14ac:dyDescent="0.35">
      <c r="A121" s="4">
        <v>1119</v>
      </c>
      <c r="B121" s="4" t="s">
        <v>713</v>
      </c>
      <c r="C121" s="5" t="s">
        <v>714</v>
      </c>
      <c r="D121" s="23" t="s">
        <v>798</v>
      </c>
      <c r="E121" s="23" t="s">
        <v>799</v>
      </c>
      <c r="F121" s="4">
        <v>2</v>
      </c>
      <c r="G121" s="23" t="s">
        <v>800</v>
      </c>
      <c r="H121" s="4" t="s">
        <v>293</v>
      </c>
      <c r="I121" s="5" t="s">
        <v>294</v>
      </c>
      <c r="J121" s="4" t="s">
        <v>415</v>
      </c>
      <c r="K121" s="5"/>
      <c r="L121" s="28">
        <v>0.1</v>
      </c>
    </row>
    <row r="122" spans="1:12" ht="50" customHeight="1" x14ac:dyDescent="0.35">
      <c r="A122" s="2">
        <v>1120</v>
      </c>
      <c r="B122" s="2" t="s">
        <v>713</v>
      </c>
      <c r="C122" s="3" t="s">
        <v>714</v>
      </c>
      <c r="D122" s="22" t="s">
        <v>801</v>
      </c>
      <c r="E122" s="22" t="s">
        <v>802</v>
      </c>
      <c r="F122" s="2">
        <v>2</v>
      </c>
      <c r="G122" s="22" t="s">
        <v>803</v>
      </c>
      <c r="H122" s="2" t="s">
        <v>298</v>
      </c>
      <c r="I122" s="3" t="s">
        <v>299</v>
      </c>
      <c r="J122" s="2" t="s">
        <v>415</v>
      </c>
      <c r="K122" s="3"/>
      <c r="L122" s="28">
        <v>0.1</v>
      </c>
    </row>
    <row r="123" spans="1:12" ht="50" customHeight="1" x14ac:dyDescent="0.35">
      <c r="A123" s="4">
        <v>1121</v>
      </c>
      <c r="B123" s="4" t="s">
        <v>713</v>
      </c>
      <c r="C123" s="5" t="s">
        <v>714</v>
      </c>
      <c r="D123" s="23" t="s">
        <v>804</v>
      </c>
      <c r="E123" s="23" t="s">
        <v>805</v>
      </c>
      <c r="F123" s="4">
        <v>2</v>
      </c>
      <c r="G123" s="23" t="s">
        <v>806</v>
      </c>
      <c r="H123" s="4"/>
      <c r="I123" s="5" t="s">
        <v>414</v>
      </c>
      <c r="J123" s="4" t="s">
        <v>415</v>
      </c>
      <c r="K123" s="5"/>
      <c r="L123" s="28">
        <v>0.1</v>
      </c>
    </row>
    <row r="124" spans="1:12" ht="50" customHeight="1" x14ac:dyDescent="0.35">
      <c r="A124" s="2">
        <v>1122</v>
      </c>
      <c r="B124" s="2" t="s">
        <v>713</v>
      </c>
      <c r="C124" s="3" t="s">
        <v>714</v>
      </c>
      <c r="D124" s="22" t="s">
        <v>807</v>
      </c>
      <c r="E124" s="22" t="s">
        <v>808</v>
      </c>
      <c r="F124" s="2">
        <v>1</v>
      </c>
      <c r="G124" s="22" t="s">
        <v>809</v>
      </c>
      <c r="H124" s="2" t="s">
        <v>303</v>
      </c>
      <c r="I124" s="3" t="s">
        <v>304</v>
      </c>
      <c r="J124" s="2" t="s">
        <v>415</v>
      </c>
      <c r="K124" s="3"/>
      <c r="L124" s="28">
        <v>0.1</v>
      </c>
    </row>
    <row r="125" spans="1:12" ht="50" customHeight="1" x14ac:dyDescent="0.35">
      <c r="A125" s="4">
        <v>1123</v>
      </c>
      <c r="B125" s="4" t="s">
        <v>713</v>
      </c>
      <c r="C125" s="5" t="s">
        <v>714</v>
      </c>
      <c r="D125" s="23" t="s">
        <v>810</v>
      </c>
      <c r="E125" s="23" t="s">
        <v>811</v>
      </c>
      <c r="F125" s="4">
        <v>1</v>
      </c>
      <c r="G125" s="23" t="s">
        <v>812</v>
      </c>
      <c r="H125" s="4"/>
      <c r="I125" s="5" t="s">
        <v>414</v>
      </c>
      <c r="J125" s="4" t="s">
        <v>415</v>
      </c>
      <c r="K125" s="5"/>
      <c r="L125" s="28">
        <v>0.1</v>
      </c>
    </row>
    <row r="126" spans="1:12" ht="50" customHeight="1" x14ac:dyDescent="0.35">
      <c r="A126" s="2">
        <v>1124</v>
      </c>
      <c r="B126" s="2" t="s">
        <v>713</v>
      </c>
      <c r="C126" s="3" t="s">
        <v>714</v>
      </c>
      <c r="D126" s="22" t="s">
        <v>813</v>
      </c>
      <c r="E126" s="22" t="s">
        <v>814</v>
      </c>
      <c r="F126" s="2">
        <v>1</v>
      </c>
      <c r="G126" s="22" t="s">
        <v>815</v>
      </c>
      <c r="H126" s="2"/>
      <c r="I126" s="3" t="s">
        <v>414</v>
      </c>
      <c r="J126" s="2" t="s">
        <v>415</v>
      </c>
      <c r="K126" s="3"/>
      <c r="L126" s="28">
        <v>0.1</v>
      </c>
    </row>
    <row r="127" spans="1:12" ht="50" customHeight="1" x14ac:dyDescent="0.35">
      <c r="A127" s="4">
        <v>1125</v>
      </c>
      <c r="B127" s="4" t="s">
        <v>713</v>
      </c>
      <c r="C127" s="5" t="s">
        <v>714</v>
      </c>
      <c r="D127" s="23" t="s">
        <v>816</v>
      </c>
      <c r="E127" s="23" t="s">
        <v>817</v>
      </c>
      <c r="F127" s="4">
        <v>2</v>
      </c>
      <c r="G127" s="23" t="s">
        <v>818</v>
      </c>
      <c r="H127" s="4"/>
      <c r="I127" s="5" t="s">
        <v>414</v>
      </c>
      <c r="J127" s="4" t="s">
        <v>415</v>
      </c>
      <c r="K127" s="5"/>
      <c r="L127" s="28">
        <v>0.1</v>
      </c>
    </row>
    <row r="128" spans="1:12" ht="50" customHeight="1" x14ac:dyDescent="0.35">
      <c r="A128" s="2">
        <v>1126</v>
      </c>
      <c r="B128" s="2" t="s">
        <v>713</v>
      </c>
      <c r="C128" s="3" t="s">
        <v>714</v>
      </c>
      <c r="D128" s="22" t="s">
        <v>819</v>
      </c>
      <c r="E128" s="22" t="s">
        <v>820</v>
      </c>
      <c r="F128" s="2">
        <v>2</v>
      </c>
      <c r="G128" s="22" t="s">
        <v>821</v>
      </c>
      <c r="H128" s="2"/>
      <c r="I128" s="3" t="s">
        <v>414</v>
      </c>
      <c r="J128" s="2" t="s">
        <v>415</v>
      </c>
      <c r="K128" s="3"/>
      <c r="L128" s="28">
        <v>0.1</v>
      </c>
    </row>
    <row r="129" spans="1:12" ht="50" customHeight="1" x14ac:dyDescent="0.35">
      <c r="A129" s="4">
        <v>1127</v>
      </c>
      <c r="B129" s="4" t="s">
        <v>713</v>
      </c>
      <c r="C129" s="5" t="s">
        <v>714</v>
      </c>
      <c r="D129" s="23" t="s">
        <v>822</v>
      </c>
      <c r="E129" s="23" t="s">
        <v>823</v>
      </c>
      <c r="F129" s="4">
        <v>2</v>
      </c>
      <c r="G129" s="23" t="s">
        <v>824</v>
      </c>
      <c r="H129" s="4"/>
      <c r="I129" s="5" t="s">
        <v>414</v>
      </c>
      <c r="J129" s="4" t="s">
        <v>415</v>
      </c>
      <c r="K129" s="5"/>
      <c r="L129" s="28">
        <v>0.1</v>
      </c>
    </row>
    <row r="130" spans="1:12" ht="50" customHeight="1" x14ac:dyDescent="0.35">
      <c r="A130" s="2">
        <v>1128</v>
      </c>
      <c r="B130" s="2" t="s">
        <v>713</v>
      </c>
      <c r="C130" s="3" t="s">
        <v>714</v>
      </c>
      <c r="D130" s="22" t="s">
        <v>825</v>
      </c>
      <c r="E130" s="22" t="s">
        <v>826</v>
      </c>
      <c r="F130" s="2">
        <v>1</v>
      </c>
      <c r="G130" s="22" t="s">
        <v>827</v>
      </c>
      <c r="H130" s="2"/>
      <c r="I130" s="3" t="s">
        <v>414</v>
      </c>
      <c r="J130" s="2" t="s">
        <v>415</v>
      </c>
      <c r="K130" s="3"/>
      <c r="L130" s="28">
        <v>0.1</v>
      </c>
    </row>
    <row r="131" spans="1:12" ht="50" customHeight="1" x14ac:dyDescent="0.35">
      <c r="A131" s="4">
        <v>1129</v>
      </c>
      <c r="B131" s="4" t="s">
        <v>713</v>
      </c>
      <c r="C131" s="5" t="s">
        <v>714</v>
      </c>
      <c r="D131" s="23" t="s">
        <v>828</v>
      </c>
      <c r="E131" s="23" t="s">
        <v>829</v>
      </c>
      <c r="F131" s="4">
        <v>2</v>
      </c>
      <c r="G131" s="23" t="s">
        <v>830</v>
      </c>
      <c r="H131" s="4"/>
      <c r="I131" s="5" t="s">
        <v>414</v>
      </c>
      <c r="J131" s="4" t="s">
        <v>415</v>
      </c>
      <c r="K131" s="5"/>
      <c r="L131" s="28">
        <v>0.1</v>
      </c>
    </row>
    <row r="132" spans="1:12" ht="50" customHeight="1" x14ac:dyDescent="0.35">
      <c r="A132" s="2">
        <v>1130</v>
      </c>
      <c r="B132" s="2" t="s">
        <v>713</v>
      </c>
      <c r="C132" s="3" t="s">
        <v>714</v>
      </c>
      <c r="D132" s="22" t="s">
        <v>831</v>
      </c>
      <c r="E132" s="22" t="s">
        <v>832</v>
      </c>
      <c r="F132" s="2">
        <v>2</v>
      </c>
      <c r="G132" s="22" t="s">
        <v>475</v>
      </c>
      <c r="H132" s="2"/>
      <c r="I132" s="3" t="s">
        <v>414</v>
      </c>
      <c r="J132" s="2" t="s">
        <v>415</v>
      </c>
      <c r="K132" s="3"/>
      <c r="L132" s="28">
        <v>0.1</v>
      </c>
    </row>
    <row r="133" spans="1:12" ht="50" customHeight="1" x14ac:dyDescent="0.35">
      <c r="A133" s="4">
        <v>1131</v>
      </c>
      <c r="B133" s="4" t="s">
        <v>713</v>
      </c>
      <c r="C133" s="5" t="s">
        <v>714</v>
      </c>
      <c r="D133" s="23" t="s">
        <v>833</v>
      </c>
      <c r="E133" s="23" t="s">
        <v>834</v>
      </c>
      <c r="F133" s="4">
        <v>1</v>
      </c>
      <c r="G133" s="23" t="s">
        <v>835</v>
      </c>
      <c r="H133" s="4" t="s">
        <v>313</v>
      </c>
      <c r="I133" s="5" t="s">
        <v>314</v>
      </c>
      <c r="J133" s="4" t="s">
        <v>415</v>
      </c>
      <c r="K133" s="5"/>
      <c r="L133" s="28">
        <v>0.1</v>
      </c>
    </row>
    <row r="134" spans="1:12" ht="50" customHeight="1" x14ac:dyDescent="0.35">
      <c r="A134" s="2">
        <v>1132</v>
      </c>
      <c r="B134" s="2" t="s">
        <v>713</v>
      </c>
      <c r="C134" s="3" t="s">
        <v>714</v>
      </c>
      <c r="D134" s="22" t="s">
        <v>836</v>
      </c>
      <c r="E134" s="22" t="s">
        <v>837</v>
      </c>
      <c r="F134" s="2">
        <v>2</v>
      </c>
      <c r="G134" s="22" t="s">
        <v>838</v>
      </c>
      <c r="H134" s="2" t="s">
        <v>313</v>
      </c>
      <c r="I134" s="3" t="s">
        <v>314</v>
      </c>
      <c r="J134" s="2" t="s">
        <v>415</v>
      </c>
      <c r="K134" s="3"/>
      <c r="L134" s="28">
        <v>0.1</v>
      </c>
    </row>
    <row r="135" spans="1:12" ht="50" customHeight="1" x14ac:dyDescent="0.35">
      <c r="A135" s="4">
        <v>1133</v>
      </c>
      <c r="B135" s="4" t="s">
        <v>713</v>
      </c>
      <c r="C135" s="5" t="s">
        <v>714</v>
      </c>
      <c r="D135" s="23" t="s">
        <v>839</v>
      </c>
      <c r="E135" s="23" t="s">
        <v>840</v>
      </c>
      <c r="F135" s="4">
        <v>1</v>
      </c>
      <c r="G135" s="23" t="s">
        <v>841</v>
      </c>
      <c r="H135" s="4" t="s">
        <v>313</v>
      </c>
      <c r="I135" s="5" t="s">
        <v>314</v>
      </c>
      <c r="J135" s="4" t="s">
        <v>415</v>
      </c>
      <c r="K135" s="5"/>
      <c r="L135" s="28">
        <v>0.1</v>
      </c>
    </row>
    <row r="136" spans="1:12" ht="50" customHeight="1" x14ac:dyDescent="0.35">
      <c r="A136" s="2">
        <v>1134</v>
      </c>
      <c r="B136" s="2" t="s">
        <v>713</v>
      </c>
      <c r="C136" s="3" t="s">
        <v>714</v>
      </c>
      <c r="D136" s="22" t="s">
        <v>842</v>
      </c>
      <c r="E136" s="22" t="s">
        <v>843</v>
      </c>
      <c r="F136" s="2">
        <v>3</v>
      </c>
      <c r="G136" s="22" t="s">
        <v>844</v>
      </c>
      <c r="H136" s="2" t="s">
        <v>298</v>
      </c>
      <c r="I136" s="3" t="s">
        <v>299</v>
      </c>
      <c r="J136" s="2" t="s">
        <v>415</v>
      </c>
      <c r="K136" s="3"/>
      <c r="L136" s="28">
        <v>0.1</v>
      </c>
    </row>
    <row r="137" spans="1:12" ht="50" customHeight="1" x14ac:dyDescent="0.35">
      <c r="A137" s="4">
        <v>1135</v>
      </c>
      <c r="B137" s="4" t="s">
        <v>845</v>
      </c>
      <c r="C137" s="5" t="s">
        <v>846</v>
      </c>
      <c r="D137" s="23" t="s">
        <v>847</v>
      </c>
      <c r="E137" s="23" t="s">
        <v>848</v>
      </c>
      <c r="F137" s="4">
        <v>3</v>
      </c>
      <c r="G137" s="23" t="s">
        <v>849</v>
      </c>
      <c r="H137" s="4"/>
      <c r="I137" s="5" t="s">
        <v>414</v>
      </c>
      <c r="J137" s="4" t="s">
        <v>415</v>
      </c>
      <c r="K137" s="5"/>
      <c r="L137" s="28">
        <v>0.1</v>
      </c>
    </row>
    <row r="138" spans="1:12" ht="50" customHeight="1" x14ac:dyDescent="0.35">
      <c r="A138" s="2">
        <v>1136</v>
      </c>
      <c r="B138" s="2" t="s">
        <v>850</v>
      </c>
      <c r="C138" s="3" t="s">
        <v>851</v>
      </c>
      <c r="D138" s="22" t="s">
        <v>852</v>
      </c>
      <c r="E138" s="22" t="s">
        <v>853</v>
      </c>
      <c r="F138" s="2">
        <v>1</v>
      </c>
      <c r="G138" s="22" t="s">
        <v>854</v>
      </c>
      <c r="H138" s="2"/>
      <c r="I138" s="3" t="s">
        <v>414</v>
      </c>
      <c r="J138" s="2" t="s">
        <v>415</v>
      </c>
      <c r="K138" s="3"/>
      <c r="L138" s="28">
        <v>0.1</v>
      </c>
    </row>
    <row r="139" spans="1:12" ht="50" customHeight="1" x14ac:dyDescent="0.35">
      <c r="A139" s="4">
        <v>1137</v>
      </c>
      <c r="B139" s="4" t="s">
        <v>850</v>
      </c>
      <c r="C139" s="5" t="s">
        <v>851</v>
      </c>
      <c r="D139" s="23" t="s">
        <v>855</v>
      </c>
      <c r="E139" s="23" t="s">
        <v>856</v>
      </c>
      <c r="F139" s="4">
        <v>1</v>
      </c>
      <c r="G139" s="23" t="s">
        <v>857</v>
      </c>
      <c r="H139" s="4" t="s">
        <v>313</v>
      </c>
      <c r="I139" s="5" t="s">
        <v>314</v>
      </c>
      <c r="J139" s="4" t="s">
        <v>415</v>
      </c>
      <c r="K139" s="5"/>
      <c r="L139" s="28">
        <v>0.1</v>
      </c>
    </row>
    <row r="140" spans="1:12" ht="50" customHeight="1" x14ac:dyDescent="0.35">
      <c r="A140" s="2">
        <v>1138</v>
      </c>
      <c r="B140" s="2" t="s">
        <v>850</v>
      </c>
      <c r="C140" s="3" t="s">
        <v>851</v>
      </c>
      <c r="D140" s="22" t="s">
        <v>858</v>
      </c>
      <c r="E140" s="22" t="s">
        <v>859</v>
      </c>
      <c r="F140" s="2">
        <v>2</v>
      </c>
      <c r="G140" s="22" t="s">
        <v>860</v>
      </c>
      <c r="H140" s="2" t="s">
        <v>293</v>
      </c>
      <c r="I140" s="3" t="s">
        <v>294</v>
      </c>
      <c r="J140" s="2" t="s">
        <v>415</v>
      </c>
      <c r="K140" s="3"/>
      <c r="L140" s="28">
        <v>0.1</v>
      </c>
    </row>
    <row r="141" spans="1:12" ht="50" customHeight="1" x14ac:dyDescent="0.35">
      <c r="A141" s="4">
        <v>1139</v>
      </c>
      <c r="B141" s="4" t="s">
        <v>850</v>
      </c>
      <c r="C141" s="5" t="s">
        <v>851</v>
      </c>
      <c r="D141" s="23" t="s">
        <v>861</v>
      </c>
      <c r="E141" s="23" t="s">
        <v>862</v>
      </c>
      <c r="F141" s="4">
        <v>2</v>
      </c>
      <c r="G141" s="23" t="s">
        <v>863</v>
      </c>
      <c r="H141" s="4"/>
      <c r="I141" s="5" t="s">
        <v>414</v>
      </c>
      <c r="J141" s="4" t="s">
        <v>415</v>
      </c>
      <c r="K141" s="5"/>
      <c r="L141" s="28">
        <v>0.1</v>
      </c>
    </row>
    <row r="142" spans="1:12" ht="50" customHeight="1" x14ac:dyDescent="0.35">
      <c r="A142" s="2">
        <v>1140</v>
      </c>
      <c r="B142" s="2" t="s">
        <v>850</v>
      </c>
      <c r="C142" s="3" t="s">
        <v>851</v>
      </c>
      <c r="D142" s="22" t="s">
        <v>864</v>
      </c>
      <c r="E142" s="22" t="s">
        <v>865</v>
      </c>
      <c r="F142" s="2">
        <v>2</v>
      </c>
      <c r="G142" s="22" t="s">
        <v>866</v>
      </c>
      <c r="H142" s="2" t="s">
        <v>303</v>
      </c>
      <c r="I142" s="3" t="s">
        <v>304</v>
      </c>
      <c r="J142" s="2" t="s">
        <v>415</v>
      </c>
      <c r="K142" s="3"/>
      <c r="L142" s="28">
        <v>0.1</v>
      </c>
    </row>
    <row r="143" spans="1:12" ht="50" customHeight="1" x14ac:dyDescent="0.35">
      <c r="A143" s="4">
        <v>1141</v>
      </c>
      <c r="B143" s="4" t="s">
        <v>850</v>
      </c>
      <c r="C143" s="5" t="s">
        <v>851</v>
      </c>
      <c r="D143" s="23" t="s">
        <v>867</v>
      </c>
      <c r="E143" s="23" t="s">
        <v>868</v>
      </c>
      <c r="F143" s="4">
        <v>2</v>
      </c>
      <c r="G143" s="23" t="s">
        <v>869</v>
      </c>
      <c r="H143" s="4" t="s">
        <v>298</v>
      </c>
      <c r="I143" s="5" t="s">
        <v>299</v>
      </c>
      <c r="J143" s="4" t="s">
        <v>415</v>
      </c>
      <c r="K143" s="5"/>
      <c r="L143" s="28">
        <v>0.1</v>
      </c>
    </row>
    <row r="144" spans="1:12" ht="50" customHeight="1" x14ac:dyDescent="0.35">
      <c r="A144" s="2">
        <v>1142</v>
      </c>
      <c r="B144" s="2" t="s">
        <v>850</v>
      </c>
      <c r="C144" s="3" t="s">
        <v>851</v>
      </c>
      <c r="D144" s="22" t="s">
        <v>870</v>
      </c>
      <c r="E144" s="22" t="s">
        <v>871</v>
      </c>
      <c r="F144" s="2">
        <v>1</v>
      </c>
      <c r="G144" s="22" t="s">
        <v>872</v>
      </c>
      <c r="H144" s="2" t="s">
        <v>313</v>
      </c>
      <c r="I144" s="3" t="s">
        <v>314</v>
      </c>
      <c r="J144" s="2" t="s">
        <v>415</v>
      </c>
      <c r="K144" s="3"/>
      <c r="L144" s="28">
        <v>0.1</v>
      </c>
    </row>
    <row r="145" spans="1:12" ht="50" customHeight="1" x14ac:dyDescent="0.35">
      <c r="A145" s="4">
        <v>1143</v>
      </c>
      <c r="B145" s="4" t="s">
        <v>850</v>
      </c>
      <c r="C145" s="5" t="s">
        <v>851</v>
      </c>
      <c r="D145" s="23" t="s">
        <v>873</v>
      </c>
      <c r="E145" s="23" t="s">
        <v>874</v>
      </c>
      <c r="F145" s="4">
        <v>2</v>
      </c>
      <c r="G145" s="23" t="s">
        <v>875</v>
      </c>
      <c r="H145" s="4" t="s">
        <v>338</v>
      </c>
      <c r="I145" s="5" t="s">
        <v>339</v>
      </c>
      <c r="J145" s="4" t="s">
        <v>415</v>
      </c>
      <c r="K145" s="5"/>
      <c r="L145" s="28">
        <v>0.1</v>
      </c>
    </row>
    <row r="146" spans="1:12" ht="50" customHeight="1" x14ac:dyDescent="0.35">
      <c r="A146" s="2">
        <v>1144</v>
      </c>
      <c r="B146" s="2" t="s">
        <v>876</v>
      </c>
      <c r="C146" s="3" t="s">
        <v>877</v>
      </c>
      <c r="D146" s="22" t="s">
        <v>878</v>
      </c>
      <c r="E146" s="22" t="s">
        <v>879</v>
      </c>
      <c r="F146" s="2">
        <v>2</v>
      </c>
      <c r="G146" s="22" t="s">
        <v>880</v>
      </c>
      <c r="H146" s="2"/>
      <c r="I146" s="3" t="s">
        <v>414</v>
      </c>
      <c r="J146" s="2" t="s">
        <v>415</v>
      </c>
      <c r="K146" s="3"/>
      <c r="L146" s="28">
        <v>0.1</v>
      </c>
    </row>
    <row r="147" spans="1:12" ht="50" customHeight="1" x14ac:dyDescent="0.35">
      <c r="A147" s="4">
        <v>1145</v>
      </c>
      <c r="B147" s="4" t="s">
        <v>876</v>
      </c>
      <c r="C147" s="5" t="s">
        <v>877</v>
      </c>
      <c r="D147" s="23" t="s">
        <v>881</v>
      </c>
      <c r="E147" s="23" t="s">
        <v>882</v>
      </c>
      <c r="F147" s="4">
        <v>1</v>
      </c>
      <c r="G147" s="23" t="s">
        <v>883</v>
      </c>
      <c r="H147" s="4"/>
      <c r="I147" s="5" t="s">
        <v>414</v>
      </c>
      <c r="J147" s="4" t="s">
        <v>415</v>
      </c>
      <c r="K147" s="5"/>
      <c r="L147" s="28">
        <v>0.1</v>
      </c>
    </row>
    <row r="148" spans="1:12" ht="50" customHeight="1" x14ac:dyDescent="0.35">
      <c r="A148" s="2">
        <v>1146</v>
      </c>
      <c r="B148" s="2" t="s">
        <v>876</v>
      </c>
      <c r="C148" s="3" t="s">
        <v>877</v>
      </c>
      <c r="D148" s="22" t="s">
        <v>884</v>
      </c>
      <c r="E148" s="22" t="s">
        <v>885</v>
      </c>
      <c r="F148" s="2">
        <v>1</v>
      </c>
      <c r="G148" s="22" t="s">
        <v>886</v>
      </c>
      <c r="H148" s="2" t="s">
        <v>313</v>
      </c>
      <c r="I148" s="3" t="s">
        <v>314</v>
      </c>
      <c r="J148" s="2" t="s">
        <v>415</v>
      </c>
      <c r="K148" s="3"/>
      <c r="L148" s="28">
        <v>0.1</v>
      </c>
    </row>
    <row r="149" spans="1:12" ht="50" customHeight="1" x14ac:dyDescent="0.35">
      <c r="A149" s="4">
        <v>1147</v>
      </c>
      <c r="B149" s="4" t="s">
        <v>876</v>
      </c>
      <c r="C149" s="5" t="s">
        <v>877</v>
      </c>
      <c r="D149" s="23" t="s">
        <v>887</v>
      </c>
      <c r="E149" s="23" t="s">
        <v>888</v>
      </c>
      <c r="F149" s="4">
        <v>2</v>
      </c>
      <c r="G149" s="23" t="s">
        <v>889</v>
      </c>
      <c r="H149" s="4" t="s">
        <v>298</v>
      </c>
      <c r="I149" s="5" t="s">
        <v>299</v>
      </c>
      <c r="J149" s="4" t="s">
        <v>415</v>
      </c>
      <c r="K149" s="5"/>
      <c r="L149" s="28">
        <v>0.1</v>
      </c>
    </row>
    <row r="150" spans="1:12" ht="50" customHeight="1" x14ac:dyDescent="0.35">
      <c r="A150" s="2">
        <v>1148</v>
      </c>
      <c r="B150" s="2" t="s">
        <v>876</v>
      </c>
      <c r="C150" s="3" t="s">
        <v>877</v>
      </c>
      <c r="D150" s="22" t="s">
        <v>890</v>
      </c>
      <c r="E150" s="22" t="s">
        <v>891</v>
      </c>
      <c r="F150" s="2">
        <v>2</v>
      </c>
      <c r="G150" s="22" t="s">
        <v>892</v>
      </c>
      <c r="H150" s="2" t="s">
        <v>333</v>
      </c>
      <c r="I150" s="3" t="s">
        <v>334</v>
      </c>
      <c r="J150" s="2" t="s">
        <v>415</v>
      </c>
      <c r="K150" s="3"/>
      <c r="L150" s="28">
        <v>0.1</v>
      </c>
    </row>
    <row r="151" spans="1:12" ht="50" customHeight="1" x14ac:dyDescent="0.35">
      <c r="A151" s="4">
        <v>1149</v>
      </c>
      <c r="B151" s="4" t="s">
        <v>876</v>
      </c>
      <c r="C151" s="5" t="s">
        <v>877</v>
      </c>
      <c r="D151" s="23" t="s">
        <v>893</v>
      </c>
      <c r="E151" s="23" t="s">
        <v>894</v>
      </c>
      <c r="F151" s="4">
        <v>1</v>
      </c>
      <c r="G151" s="23" t="s">
        <v>895</v>
      </c>
      <c r="H151" s="4" t="s">
        <v>313</v>
      </c>
      <c r="I151" s="5" t="s">
        <v>314</v>
      </c>
      <c r="J151" s="4" t="s">
        <v>415</v>
      </c>
      <c r="K151" s="5"/>
      <c r="L151" s="28">
        <v>0.1</v>
      </c>
    </row>
    <row r="152" spans="1:12" ht="50" customHeight="1" x14ac:dyDescent="0.35">
      <c r="A152" s="2">
        <v>1150</v>
      </c>
      <c r="B152" s="2" t="s">
        <v>896</v>
      </c>
      <c r="C152" s="3" t="s">
        <v>897</v>
      </c>
      <c r="D152" s="22" t="s">
        <v>898</v>
      </c>
      <c r="E152" s="22" t="s">
        <v>899</v>
      </c>
      <c r="F152" s="2">
        <v>1</v>
      </c>
      <c r="G152" s="22" t="s">
        <v>900</v>
      </c>
      <c r="H152" s="2"/>
      <c r="I152" s="3" t="s">
        <v>414</v>
      </c>
      <c r="J152" s="2" t="s">
        <v>415</v>
      </c>
      <c r="K152" s="3"/>
      <c r="L152" s="28">
        <v>0.1</v>
      </c>
    </row>
    <row r="153" spans="1:12" ht="50" customHeight="1" x14ac:dyDescent="0.35">
      <c r="A153" s="4">
        <v>1151</v>
      </c>
      <c r="B153" s="4" t="s">
        <v>896</v>
      </c>
      <c r="C153" s="5" t="s">
        <v>897</v>
      </c>
      <c r="D153" s="23" t="s">
        <v>901</v>
      </c>
      <c r="E153" s="23" t="s">
        <v>902</v>
      </c>
      <c r="F153" s="4">
        <v>3</v>
      </c>
      <c r="G153" s="23" t="s">
        <v>903</v>
      </c>
      <c r="H153" s="4"/>
      <c r="I153" s="5" t="s">
        <v>414</v>
      </c>
      <c r="J153" s="4" t="s">
        <v>415</v>
      </c>
      <c r="K153" s="5"/>
      <c r="L153" s="28">
        <v>0.1</v>
      </c>
    </row>
    <row r="154" spans="1:12" ht="50" customHeight="1" x14ac:dyDescent="0.35">
      <c r="A154" s="2">
        <v>1152</v>
      </c>
      <c r="B154" s="2" t="s">
        <v>896</v>
      </c>
      <c r="C154" s="3" t="s">
        <v>897</v>
      </c>
      <c r="D154" s="22" t="s">
        <v>904</v>
      </c>
      <c r="E154" s="22" t="s">
        <v>905</v>
      </c>
      <c r="F154" s="2">
        <v>1</v>
      </c>
      <c r="G154" s="22" t="s">
        <v>906</v>
      </c>
      <c r="H154" s="2" t="s">
        <v>313</v>
      </c>
      <c r="I154" s="3" t="s">
        <v>314</v>
      </c>
      <c r="J154" s="2" t="s">
        <v>415</v>
      </c>
      <c r="K154" s="3"/>
      <c r="L154" s="28">
        <v>0.1</v>
      </c>
    </row>
    <row r="155" spans="1:12" ht="50" customHeight="1" x14ac:dyDescent="0.35">
      <c r="A155" s="4">
        <v>1153</v>
      </c>
      <c r="B155" s="4" t="s">
        <v>896</v>
      </c>
      <c r="C155" s="5" t="s">
        <v>897</v>
      </c>
      <c r="D155" s="23" t="s">
        <v>907</v>
      </c>
      <c r="E155" s="23" t="s">
        <v>908</v>
      </c>
      <c r="F155" s="4">
        <v>2</v>
      </c>
      <c r="G155" s="23" t="s">
        <v>909</v>
      </c>
      <c r="H155" s="4" t="s">
        <v>313</v>
      </c>
      <c r="I155" s="5" t="s">
        <v>314</v>
      </c>
      <c r="J155" s="4" t="s">
        <v>415</v>
      </c>
      <c r="K155" s="5"/>
      <c r="L155" s="28">
        <v>0.1</v>
      </c>
    </row>
    <row r="156" spans="1:12" ht="50" customHeight="1" x14ac:dyDescent="0.35">
      <c r="A156" s="2">
        <v>1154</v>
      </c>
      <c r="B156" s="2" t="s">
        <v>896</v>
      </c>
      <c r="C156" s="3" t="s">
        <v>897</v>
      </c>
      <c r="D156" s="22" t="s">
        <v>910</v>
      </c>
      <c r="E156" s="22" t="s">
        <v>911</v>
      </c>
      <c r="F156" s="2">
        <v>3</v>
      </c>
      <c r="G156" s="22" t="s">
        <v>912</v>
      </c>
      <c r="H156" s="2" t="s">
        <v>313</v>
      </c>
      <c r="I156" s="3" t="s">
        <v>314</v>
      </c>
      <c r="J156" s="2" t="s">
        <v>415</v>
      </c>
      <c r="K156" s="3"/>
      <c r="L156" s="28">
        <v>0.1</v>
      </c>
    </row>
    <row r="157" spans="1:12" ht="50" customHeight="1" x14ac:dyDescent="0.35">
      <c r="A157" s="4">
        <v>1155</v>
      </c>
      <c r="B157" s="4" t="s">
        <v>896</v>
      </c>
      <c r="C157" s="5" t="s">
        <v>897</v>
      </c>
      <c r="D157" s="23" t="s">
        <v>913</v>
      </c>
      <c r="E157" s="23" t="s">
        <v>914</v>
      </c>
      <c r="F157" s="4">
        <v>1</v>
      </c>
      <c r="G157" s="23" t="s">
        <v>915</v>
      </c>
      <c r="H157" s="4" t="s">
        <v>303</v>
      </c>
      <c r="I157" s="5" t="s">
        <v>304</v>
      </c>
      <c r="J157" s="4" t="s">
        <v>415</v>
      </c>
      <c r="K157" s="5"/>
      <c r="L157" s="28">
        <v>0.1</v>
      </c>
    </row>
    <row r="158" spans="1:12" ht="50" customHeight="1" x14ac:dyDescent="0.35">
      <c r="A158" s="2">
        <v>1156</v>
      </c>
      <c r="B158" s="2" t="s">
        <v>896</v>
      </c>
      <c r="C158" s="3" t="s">
        <v>897</v>
      </c>
      <c r="D158" s="22" t="s">
        <v>916</v>
      </c>
      <c r="E158" s="22" t="s">
        <v>917</v>
      </c>
      <c r="F158" s="2">
        <v>1</v>
      </c>
      <c r="G158" s="22" t="s">
        <v>918</v>
      </c>
      <c r="H158" s="2" t="s">
        <v>313</v>
      </c>
      <c r="I158" s="3" t="s">
        <v>314</v>
      </c>
      <c r="J158" s="2" t="s">
        <v>415</v>
      </c>
      <c r="K158" s="3"/>
      <c r="L158" s="28">
        <v>0.1</v>
      </c>
    </row>
    <row r="159" spans="1:12" ht="50" customHeight="1" x14ac:dyDescent="0.35">
      <c r="A159" s="4">
        <v>1157</v>
      </c>
      <c r="B159" s="4" t="s">
        <v>896</v>
      </c>
      <c r="C159" s="5" t="s">
        <v>897</v>
      </c>
      <c r="D159" s="23" t="s">
        <v>919</v>
      </c>
      <c r="E159" s="23" t="s">
        <v>920</v>
      </c>
      <c r="F159" s="4">
        <v>2</v>
      </c>
      <c r="G159" s="23" t="s">
        <v>921</v>
      </c>
      <c r="H159" s="4" t="s">
        <v>298</v>
      </c>
      <c r="I159" s="5" t="s">
        <v>299</v>
      </c>
      <c r="J159" s="4" t="s">
        <v>415</v>
      </c>
      <c r="K159" s="5"/>
      <c r="L159" s="28">
        <v>0.1</v>
      </c>
    </row>
    <row r="160" spans="1:12" ht="50" customHeight="1" x14ac:dyDescent="0.35">
      <c r="A160" s="2">
        <v>1158</v>
      </c>
      <c r="B160" s="2" t="s">
        <v>896</v>
      </c>
      <c r="C160" s="3" t="s">
        <v>897</v>
      </c>
      <c r="D160" s="22" t="s">
        <v>922</v>
      </c>
      <c r="E160" s="22" t="s">
        <v>923</v>
      </c>
      <c r="F160" s="2">
        <v>2</v>
      </c>
      <c r="G160" s="22" t="s">
        <v>924</v>
      </c>
      <c r="H160" s="2"/>
      <c r="I160" s="3" t="s">
        <v>414</v>
      </c>
      <c r="J160" s="2" t="s">
        <v>415</v>
      </c>
      <c r="K160" s="3"/>
      <c r="L160" s="28">
        <v>0.1</v>
      </c>
    </row>
    <row r="161" spans="1:12" ht="50" customHeight="1" x14ac:dyDescent="0.35">
      <c r="A161" s="4">
        <v>1159</v>
      </c>
      <c r="B161" s="4" t="s">
        <v>896</v>
      </c>
      <c r="C161" s="5" t="s">
        <v>897</v>
      </c>
      <c r="D161" s="23" t="s">
        <v>925</v>
      </c>
      <c r="E161" s="23" t="s">
        <v>926</v>
      </c>
      <c r="F161" s="4">
        <v>2</v>
      </c>
      <c r="G161" s="23" t="s">
        <v>927</v>
      </c>
      <c r="H161" s="4" t="s">
        <v>298</v>
      </c>
      <c r="I161" s="5" t="s">
        <v>299</v>
      </c>
      <c r="J161" s="4" t="s">
        <v>415</v>
      </c>
      <c r="K161" s="5"/>
      <c r="L161" s="28">
        <v>0.1</v>
      </c>
    </row>
    <row r="162" spans="1:12" ht="50" customHeight="1" x14ac:dyDescent="0.35">
      <c r="A162" s="2">
        <v>1160</v>
      </c>
      <c r="B162" s="2" t="s">
        <v>896</v>
      </c>
      <c r="C162" s="3" t="s">
        <v>897</v>
      </c>
      <c r="D162" s="22" t="s">
        <v>928</v>
      </c>
      <c r="E162" s="22" t="s">
        <v>929</v>
      </c>
      <c r="F162" s="2">
        <v>1</v>
      </c>
      <c r="G162" s="22" t="s">
        <v>930</v>
      </c>
      <c r="H162" s="2" t="s">
        <v>298</v>
      </c>
      <c r="I162" s="3" t="s">
        <v>299</v>
      </c>
      <c r="J162" s="2" t="s">
        <v>415</v>
      </c>
      <c r="K162" s="3"/>
      <c r="L162" s="28">
        <v>0.1</v>
      </c>
    </row>
    <row r="163" spans="1:12" ht="50" customHeight="1" x14ac:dyDescent="0.35">
      <c r="A163" s="4">
        <v>1161</v>
      </c>
      <c r="B163" s="4" t="s">
        <v>931</v>
      </c>
      <c r="C163" s="5" t="s">
        <v>932</v>
      </c>
      <c r="D163" s="23" t="s">
        <v>933</v>
      </c>
      <c r="E163" s="23" t="s">
        <v>934</v>
      </c>
      <c r="F163" s="4">
        <v>2</v>
      </c>
      <c r="G163" s="23" t="s">
        <v>935</v>
      </c>
      <c r="H163" s="4" t="s">
        <v>298</v>
      </c>
      <c r="I163" s="5" t="s">
        <v>299</v>
      </c>
      <c r="J163" s="4" t="s">
        <v>415</v>
      </c>
      <c r="K163" s="5"/>
      <c r="L163" s="28">
        <v>0.1</v>
      </c>
    </row>
    <row r="164" spans="1:12" ht="50" customHeight="1" x14ac:dyDescent="0.35">
      <c r="A164" s="2">
        <v>1162</v>
      </c>
      <c r="B164" s="2" t="s">
        <v>931</v>
      </c>
      <c r="C164" s="3" t="s">
        <v>932</v>
      </c>
      <c r="D164" s="22" t="s">
        <v>936</v>
      </c>
      <c r="E164" s="22" t="s">
        <v>937</v>
      </c>
      <c r="F164" s="2">
        <v>2</v>
      </c>
      <c r="G164" s="22" t="s">
        <v>938</v>
      </c>
      <c r="H164" s="2" t="s">
        <v>298</v>
      </c>
      <c r="I164" s="3" t="s">
        <v>299</v>
      </c>
      <c r="J164" s="2" t="s">
        <v>415</v>
      </c>
      <c r="K164" s="3"/>
      <c r="L164" s="28">
        <v>0.1</v>
      </c>
    </row>
    <row r="165" spans="1:12" ht="50" customHeight="1" x14ac:dyDescent="0.35">
      <c r="A165" s="4">
        <v>1163</v>
      </c>
      <c r="B165" s="4" t="s">
        <v>931</v>
      </c>
      <c r="C165" s="5" t="s">
        <v>932</v>
      </c>
      <c r="D165" s="23" t="s">
        <v>939</v>
      </c>
      <c r="E165" s="23" t="s">
        <v>940</v>
      </c>
      <c r="F165" s="4">
        <v>2</v>
      </c>
      <c r="G165" s="23" t="s">
        <v>941</v>
      </c>
      <c r="H165" s="4" t="s">
        <v>298</v>
      </c>
      <c r="I165" s="5" t="s">
        <v>299</v>
      </c>
      <c r="J165" s="4" t="s">
        <v>415</v>
      </c>
      <c r="K165" s="5"/>
      <c r="L165" s="28">
        <v>0.1</v>
      </c>
    </row>
    <row r="166" spans="1:12" ht="50" customHeight="1" x14ac:dyDescent="0.35">
      <c r="A166" s="2">
        <v>1164</v>
      </c>
      <c r="B166" s="2" t="s">
        <v>931</v>
      </c>
      <c r="C166" s="3" t="s">
        <v>932</v>
      </c>
      <c r="D166" s="22" t="s">
        <v>942</v>
      </c>
      <c r="E166" s="22" t="s">
        <v>943</v>
      </c>
      <c r="F166" s="2">
        <v>2</v>
      </c>
      <c r="G166" s="22" t="s">
        <v>944</v>
      </c>
      <c r="H166" s="2" t="s">
        <v>293</v>
      </c>
      <c r="I166" s="3" t="s">
        <v>294</v>
      </c>
      <c r="J166" s="2" t="s">
        <v>415</v>
      </c>
      <c r="K166" s="3"/>
      <c r="L166" s="28">
        <v>0.1</v>
      </c>
    </row>
    <row r="167" spans="1:12" ht="50" customHeight="1" x14ac:dyDescent="0.35">
      <c r="A167" s="4">
        <v>1165</v>
      </c>
      <c r="B167" s="4" t="s">
        <v>931</v>
      </c>
      <c r="C167" s="5" t="s">
        <v>932</v>
      </c>
      <c r="D167" s="23" t="s">
        <v>945</v>
      </c>
      <c r="E167" s="23" t="s">
        <v>946</v>
      </c>
      <c r="F167" s="4">
        <v>1</v>
      </c>
      <c r="G167" s="23" t="s">
        <v>947</v>
      </c>
      <c r="H167" s="4" t="s">
        <v>298</v>
      </c>
      <c r="I167" s="5" t="s">
        <v>299</v>
      </c>
      <c r="J167" s="4" t="s">
        <v>415</v>
      </c>
      <c r="K167" s="5"/>
      <c r="L167" s="28">
        <v>0.1</v>
      </c>
    </row>
    <row r="168" spans="1:12" ht="50" customHeight="1" x14ac:dyDescent="0.35">
      <c r="A168" s="2">
        <v>1166</v>
      </c>
      <c r="B168" s="2" t="s">
        <v>931</v>
      </c>
      <c r="C168" s="3" t="s">
        <v>932</v>
      </c>
      <c r="D168" s="22" t="s">
        <v>948</v>
      </c>
      <c r="E168" s="22" t="s">
        <v>949</v>
      </c>
      <c r="F168" s="2">
        <v>2</v>
      </c>
      <c r="G168" s="22" t="s">
        <v>950</v>
      </c>
      <c r="H168" s="2" t="s">
        <v>298</v>
      </c>
      <c r="I168" s="3" t="s">
        <v>299</v>
      </c>
      <c r="J168" s="2" t="s">
        <v>415</v>
      </c>
      <c r="K168" s="3"/>
      <c r="L168" s="28">
        <v>0.1</v>
      </c>
    </row>
    <row r="169" spans="1:12" ht="50" customHeight="1" x14ac:dyDescent="0.35">
      <c r="A169" s="4">
        <v>1167</v>
      </c>
      <c r="B169" s="4" t="s">
        <v>931</v>
      </c>
      <c r="C169" s="5" t="s">
        <v>932</v>
      </c>
      <c r="D169" s="23" t="s">
        <v>951</v>
      </c>
      <c r="E169" s="23" t="s">
        <v>952</v>
      </c>
      <c r="F169" s="4">
        <v>1</v>
      </c>
      <c r="G169" s="23" t="s">
        <v>953</v>
      </c>
      <c r="H169" s="4" t="s">
        <v>298</v>
      </c>
      <c r="I169" s="5" t="s">
        <v>299</v>
      </c>
      <c r="J169" s="4" t="s">
        <v>415</v>
      </c>
      <c r="K169" s="5"/>
      <c r="L169" s="28">
        <v>0.1</v>
      </c>
    </row>
    <row r="170" spans="1:12" ht="50" customHeight="1" x14ac:dyDescent="0.35">
      <c r="A170" s="2">
        <v>1168</v>
      </c>
      <c r="B170" s="2" t="s">
        <v>954</v>
      </c>
      <c r="C170" s="3" t="s">
        <v>955</v>
      </c>
      <c r="D170" s="22" t="s">
        <v>956</v>
      </c>
      <c r="E170" s="22" t="s">
        <v>957</v>
      </c>
      <c r="F170" s="2">
        <v>1</v>
      </c>
      <c r="G170" s="22" t="s">
        <v>958</v>
      </c>
      <c r="H170" s="2" t="s">
        <v>298</v>
      </c>
      <c r="I170" s="3" t="s">
        <v>299</v>
      </c>
      <c r="J170" s="2" t="s">
        <v>415</v>
      </c>
      <c r="K170" s="3"/>
      <c r="L170" s="28">
        <v>0.1</v>
      </c>
    </row>
    <row r="171" spans="1:12" ht="50" customHeight="1" x14ac:dyDescent="0.35">
      <c r="A171" s="4">
        <v>1169</v>
      </c>
      <c r="B171" s="4" t="s">
        <v>954</v>
      </c>
      <c r="C171" s="5" t="s">
        <v>955</v>
      </c>
      <c r="D171" s="23" t="s">
        <v>959</v>
      </c>
      <c r="E171" s="23" t="s">
        <v>960</v>
      </c>
      <c r="F171" s="4">
        <v>2</v>
      </c>
      <c r="G171" s="23" t="s">
        <v>961</v>
      </c>
      <c r="H171" s="4" t="s">
        <v>303</v>
      </c>
      <c r="I171" s="5" t="s">
        <v>304</v>
      </c>
      <c r="J171" s="4" t="s">
        <v>415</v>
      </c>
      <c r="K171" s="5"/>
      <c r="L171" s="28">
        <v>0.1</v>
      </c>
    </row>
    <row r="172" spans="1:12" ht="50" customHeight="1" x14ac:dyDescent="0.35">
      <c r="A172" s="2">
        <v>1170</v>
      </c>
      <c r="B172" s="2" t="s">
        <v>954</v>
      </c>
      <c r="C172" s="3" t="s">
        <v>955</v>
      </c>
      <c r="D172" s="22" t="s">
        <v>962</v>
      </c>
      <c r="E172" s="22" t="s">
        <v>963</v>
      </c>
      <c r="F172" s="2">
        <v>2</v>
      </c>
      <c r="G172" s="22" t="s">
        <v>964</v>
      </c>
      <c r="H172" s="2" t="s">
        <v>303</v>
      </c>
      <c r="I172" s="3" t="s">
        <v>304</v>
      </c>
      <c r="J172" s="2" t="s">
        <v>415</v>
      </c>
      <c r="K172" s="3"/>
      <c r="L172" s="28">
        <v>0.1</v>
      </c>
    </row>
    <row r="173" spans="1:12" ht="50" customHeight="1" x14ac:dyDescent="0.35">
      <c r="A173" s="4">
        <v>1171</v>
      </c>
      <c r="B173" s="4" t="s">
        <v>954</v>
      </c>
      <c r="C173" s="5" t="s">
        <v>955</v>
      </c>
      <c r="D173" s="23" t="s">
        <v>965</v>
      </c>
      <c r="E173" s="23" t="s">
        <v>966</v>
      </c>
      <c r="F173" s="4">
        <v>2</v>
      </c>
      <c r="G173" s="23" t="s">
        <v>967</v>
      </c>
      <c r="H173" s="4" t="s">
        <v>303</v>
      </c>
      <c r="I173" s="5" t="s">
        <v>304</v>
      </c>
      <c r="J173" s="4" t="s">
        <v>415</v>
      </c>
      <c r="K173" s="5"/>
      <c r="L173" s="28">
        <v>0.1</v>
      </c>
    </row>
    <row r="174" spans="1:12" ht="50" customHeight="1" x14ac:dyDescent="0.35">
      <c r="A174" s="2">
        <v>1172</v>
      </c>
      <c r="B174" s="2" t="s">
        <v>954</v>
      </c>
      <c r="C174" s="3" t="s">
        <v>955</v>
      </c>
      <c r="D174" s="22" t="s">
        <v>968</v>
      </c>
      <c r="E174" s="22" t="s">
        <v>969</v>
      </c>
      <c r="F174" s="2">
        <v>2</v>
      </c>
      <c r="G174" s="22" t="s">
        <v>970</v>
      </c>
      <c r="H174" s="2" t="s">
        <v>303</v>
      </c>
      <c r="I174" s="3" t="s">
        <v>304</v>
      </c>
      <c r="J174" s="2" t="s">
        <v>415</v>
      </c>
      <c r="K174" s="3"/>
      <c r="L174" s="28">
        <v>0.1</v>
      </c>
    </row>
    <row r="175" spans="1:12" ht="50" customHeight="1" x14ac:dyDescent="0.35">
      <c r="A175" s="4">
        <v>1173</v>
      </c>
      <c r="B175" s="4" t="s">
        <v>954</v>
      </c>
      <c r="C175" s="5" t="s">
        <v>955</v>
      </c>
      <c r="D175" s="23" t="s">
        <v>971</v>
      </c>
      <c r="E175" s="23" t="s">
        <v>972</v>
      </c>
      <c r="F175" s="4">
        <v>1</v>
      </c>
      <c r="G175" s="23" t="s">
        <v>973</v>
      </c>
      <c r="H175" s="4" t="s">
        <v>298</v>
      </c>
      <c r="I175" s="5" t="s">
        <v>299</v>
      </c>
      <c r="J175" s="4" t="s">
        <v>415</v>
      </c>
      <c r="K175" s="5"/>
      <c r="L175" s="28">
        <v>0.1</v>
      </c>
    </row>
    <row r="176" spans="1:12" ht="50" customHeight="1" x14ac:dyDescent="0.35">
      <c r="A176" s="2">
        <v>1174</v>
      </c>
      <c r="B176" s="2" t="s">
        <v>974</v>
      </c>
      <c r="C176" s="3" t="s">
        <v>975</v>
      </c>
      <c r="D176" s="22" t="s">
        <v>976</v>
      </c>
      <c r="E176" s="22" t="s">
        <v>977</v>
      </c>
      <c r="F176" s="2">
        <v>1</v>
      </c>
      <c r="G176" s="22" t="s">
        <v>978</v>
      </c>
      <c r="H176" s="2" t="s">
        <v>298</v>
      </c>
      <c r="I176" s="3" t="s">
        <v>299</v>
      </c>
      <c r="J176" s="2" t="s">
        <v>415</v>
      </c>
      <c r="K176" s="3"/>
      <c r="L176" s="28">
        <v>0.1</v>
      </c>
    </row>
    <row r="177" spans="1:12" ht="50" customHeight="1" x14ac:dyDescent="0.35">
      <c r="A177" s="4">
        <v>1175</v>
      </c>
      <c r="B177" s="4" t="s">
        <v>974</v>
      </c>
      <c r="C177" s="5" t="s">
        <v>975</v>
      </c>
      <c r="D177" s="23" t="s">
        <v>979</v>
      </c>
      <c r="E177" s="23" t="s">
        <v>980</v>
      </c>
      <c r="F177" s="4">
        <v>1</v>
      </c>
      <c r="G177" s="23" t="s">
        <v>981</v>
      </c>
      <c r="H177" s="4"/>
      <c r="I177" s="5" t="s">
        <v>414</v>
      </c>
      <c r="J177" s="4" t="s">
        <v>415</v>
      </c>
      <c r="K177" s="5"/>
      <c r="L177" s="28">
        <v>0.1</v>
      </c>
    </row>
    <row r="178" spans="1:12" ht="50" customHeight="1" x14ac:dyDescent="0.35">
      <c r="A178" s="2">
        <v>1176</v>
      </c>
      <c r="B178" s="2" t="s">
        <v>974</v>
      </c>
      <c r="C178" s="3" t="s">
        <v>975</v>
      </c>
      <c r="D178" s="22" t="s">
        <v>982</v>
      </c>
      <c r="E178" s="22" t="s">
        <v>983</v>
      </c>
      <c r="F178" s="2">
        <v>1</v>
      </c>
      <c r="G178" s="22" t="s">
        <v>984</v>
      </c>
      <c r="H178" s="2" t="s">
        <v>313</v>
      </c>
      <c r="I178" s="3" t="s">
        <v>314</v>
      </c>
      <c r="J178" s="2" t="s">
        <v>415</v>
      </c>
      <c r="K178" s="3"/>
      <c r="L178" s="28">
        <v>0.1</v>
      </c>
    </row>
    <row r="179" spans="1:12" ht="50" customHeight="1" x14ac:dyDescent="0.35">
      <c r="A179" s="4">
        <v>1177</v>
      </c>
      <c r="B179" s="4" t="s">
        <v>985</v>
      </c>
      <c r="C179" s="5" t="s">
        <v>986</v>
      </c>
      <c r="D179" s="23" t="s">
        <v>987</v>
      </c>
      <c r="E179" s="23" t="s">
        <v>988</v>
      </c>
      <c r="F179" s="4">
        <v>1</v>
      </c>
      <c r="G179" s="23" t="s">
        <v>989</v>
      </c>
      <c r="H179" s="4" t="s">
        <v>313</v>
      </c>
      <c r="I179" s="5" t="s">
        <v>314</v>
      </c>
      <c r="J179" s="4" t="s">
        <v>415</v>
      </c>
      <c r="K179" s="5"/>
      <c r="L179" s="28">
        <v>0.1</v>
      </c>
    </row>
    <row r="180" spans="1:12" ht="50" customHeight="1" x14ac:dyDescent="0.35">
      <c r="A180" s="2">
        <v>1178</v>
      </c>
      <c r="B180" s="2" t="s">
        <v>985</v>
      </c>
      <c r="C180" s="3" t="s">
        <v>986</v>
      </c>
      <c r="D180" s="22" t="s">
        <v>990</v>
      </c>
      <c r="E180" s="22" t="s">
        <v>991</v>
      </c>
      <c r="F180" s="2">
        <v>1</v>
      </c>
      <c r="G180" s="22" t="s">
        <v>992</v>
      </c>
      <c r="H180" s="2" t="s">
        <v>313</v>
      </c>
      <c r="I180" s="3" t="s">
        <v>314</v>
      </c>
      <c r="J180" s="2" t="s">
        <v>415</v>
      </c>
      <c r="K180" s="3"/>
      <c r="L180" s="28">
        <v>0.1</v>
      </c>
    </row>
    <row r="181" spans="1:12" ht="50" customHeight="1" x14ac:dyDescent="0.35">
      <c r="A181" s="4">
        <v>1179</v>
      </c>
      <c r="B181" s="4" t="s">
        <v>985</v>
      </c>
      <c r="C181" s="5" t="s">
        <v>986</v>
      </c>
      <c r="D181" s="23" t="s">
        <v>993</v>
      </c>
      <c r="E181" s="23" t="s">
        <v>994</v>
      </c>
      <c r="F181" s="4">
        <v>1</v>
      </c>
      <c r="G181" s="23" t="s">
        <v>995</v>
      </c>
      <c r="H181" s="4"/>
      <c r="I181" s="5" t="s">
        <v>414</v>
      </c>
      <c r="J181" s="4" t="s">
        <v>415</v>
      </c>
      <c r="K181" s="5"/>
      <c r="L181" s="28">
        <v>0.1</v>
      </c>
    </row>
    <row r="182" spans="1:12" ht="50" customHeight="1" x14ac:dyDescent="0.35">
      <c r="A182" s="2">
        <v>1180</v>
      </c>
      <c r="B182" s="2" t="s">
        <v>996</v>
      </c>
      <c r="C182" s="3" t="s">
        <v>997</v>
      </c>
      <c r="D182" s="22" t="s">
        <v>998</v>
      </c>
      <c r="E182" s="22" t="s">
        <v>999</v>
      </c>
      <c r="F182" s="2">
        <v>1</v>
      </c>
      <c r="G182" s="22" t="s">
        <v>1000</v>
      </c>
      <c r="H182" s="2" t="s">
        <v>313</v>
      </c>
      <c r="I182" s="3" t="s">
        <v>314</v>
      </c>
      <c r="J182" s="2" t="s">
        <v>415</v>
      </c>
      <c r="K182" s="3"/>
      <c r="L182" s="28">
        <v>0.1</v>
      </c>
    </row>
    <row r="183" spans="1:12" ht="50" customHeight="1" x14ac:dyDescent="0.35">
      <c r="A183" s="4">
        <v>1181</v>
      </c>
      <c r="B183" s="4" t="s">
        <v>996</v>
      </c>
      <c r="C183" s="5" t="s">
        <v>997</v>
      </c>
      <c r="D183" s="23" t="s">
        <v>1001</v>
      </c>
      <c r="E183" s="23" t="s">
        <v>1002</v>
      </c>
      <c r="F183" s="4">
        <v>1</v>
      </c>
      <c r="G183" s="23" t="s">
        <v>1003</v>
      </c>
      <c r="H183" s="4" t="s">
        <v>313</v>
      </c>
      <c r="I183" s="5" t="s">
        <v>314</v>
      </c>
      <c r="J183" s="4" t="s">
        <v>415</v>
      </c>
      <c r="K183" s="5"/>
      <c r="L183" s="28">
        <v>0.1</v>
      </c>
    </row>
    <row r="184" spans="1:12" ht="50" customHeight="1" x14ac:dyDescent="0.35">
      <c r="A184" s="2">
        <v>1182</v>
      </c>
      <c r="B184" s="2" t="s">
        <v>996</v>
      </c>
      <c r="C184" s="3" t="s">
        <v>997</v>
      </c>
      <c r="D184" s="22" t="s">
        <v>1004</v>
      </c>
      <c r="E184" s="22" t="s">
        <v>1005</v>
      </c>
      <c r="F184" s="2">
        <v>1</v>
      </c>
      <c r="G184" s="22" t="s">
        <v>1006</v>
      </c>
      <c r="H184" s="2" t="s">
        <v>313</v>
      </c>
      <c r="I184" s="3" t="s">
        <v>314</v>
      </c>
      <c r="J184" s="2" t="s">
        <v>415</v>
      </c>
      <c r="K184" s="3"/>
      <c r="L184" s="28">
        <v>0.1</v>
      </c>
    </row>
    <row r="185" spans="1:12" ht="50" customHeight="1" x14ac:dyDescent="0.35">
      <c r="A185" s="4">
        <v>1183</v>
      </c>
      <c r="B185" s="4" t="s">
        <v>996</v>
      </c>
      <c r="C185" s="5" t="s">
        <v>997</v>
      </c>
      <c r="D185" s="23" t="s">
        <v>1007</v>
      </c>
      <c r="E185" s="23" t="s">
        <v>1008</v>
      </c>
      <c r="F185" s="4">
        <v>1</v>
      </c>
      <c r="G185" s="23" t="s">
        <v>1009</v>
      </c>
      <c r="H185" s="4" t="s">
        <v>313</v>
      </c>
      <c r="I185" s="5" t="s">
        <v>314</v>
      </c>
      <c r="J185" s="4" t="s">
        <v>415</v>
      </c>
      <c r="K185" s="5"/>
      <c r="L185" s="28">
        <v>0.1</v>
      </c>
    </row>
    <row r="186" spans="1:12" ht="50" customHeight="1" x14ac:dyDescent="0.35">
      <c r="A186" s="2">
        <v>1184</v>
      </c>
      <c r="B186" s="2" t="s">
        <v>1010</v>
      </c>
      <c r="C186" s="3" t="s">
        <v>1011</v>
      </c>
      <c r="D186" s="22" t="s">
        <v>1012</v>
      </c>
      <c r="E186" s="22" t="s">
        <v>1013</v>
      </c>
      <c r="F186" s="2">
        <v>1</v>
      </c>
      <c r="G186" s="22" t="s">
        <v>1014</v>
      </c>
      <c r="H186" s="2" t="s">
        <v>338</v>
      </c>
      <c r="I186" s="3" t="s">
        <v>339</v>
      </c>
      <c r="J186" s="2" t="s">
        <v>415</v>
      </c>
      <c r="K186" s="3"/>
      <c r="L186" s="28">
        <v>0.1</v>
      </c>
    </row>
    <row r="187" spans="1:12" ht="50" customHeight="1" x14ac:dyDescent="0.35">
      <c r="A187" s="4">
        <v>1185</v>
      </c>
      <c r="B187" s="4" t="s">
        <v>1010</v>
      </c>
      <c r="C187" s="5" t="s">
        <v>1011</v>
      </c>
      <c r="D187" s="23" t="s">
        <v>1015</v>
      </c>
      <c r="E187" s="23" t="s">
        <v>1016</v>
      </c>
      <c r="F187" s="4">
        <v>2</v>
      </c>
      <c r="G187" s="23" t="s">
        <v>1017</v>
      </c>
      <c r="H187" s="4"/>
      <c r="I187" s="5" t="s">
        <v>414</v>
      </c>
      <c r="J187" s="4" t="s">
        <v>415</v>
      </c>
      <c r="K187" s="5"/>
      <c r="L187" s="28">
        <v>0.1</v>
      </c>
    </row>
    <row r="188" spans="1:12" ht="50" customHeight="1" x14ac:dyDescent="0.35">
      <c r="A188" s="2">
        <v>1186</v>
      </c>
      <c r="B188" s="2" t="s">
        <v>1010</v>
      </c>
      <c r="C188" s="3" t="s">
        <v>1011</v>
      </c>
      <c r="D188" s="22" t="s">
        <v>1018</v>
      </c>
      <c r="E188" s="22" t="s">
        <v>1019</v>
      </c>
      <c r="F188" s="2">
        <v>2</v>
      </c>
      <c r="G188" s="22" t="s">
        <v>1020</v>
      </c>
      <c r="H188" s="2" t="s">
        <v>298</v>
      </c>
      <c r="I188" s="3" t="s">
        <v>299</v>
      </c>
      <c r="J188" s="2" t="s">
        <v>415</v>
      </c>
      <c r="K188" s="3"/>
      <c r="L188" s="28">
        <v>0.1</v>
      </c>
    </row>
    <row r="189" spans="1:12" ht="50" customHeight="1" x14ac:dyDescent="0.35">
      <c r="A189" s="4">
        <v>1187</v>
      </c>
      <c r="B189" s="4" t="s">
        <v>1010</v>
      </c>
      <c r="C189" s="5" t="s">
        <v>1011</v>
      </c>
      <c r="D189" s="23" t="s">
        <v>1021</v>
      </c>
      <c r="E189" s="23" t="s">
        <v>1022</v>
      </c>
      <c r="F189" s="4">
        <v>1</v>
      </c>
      <c r="G189" s="23" t="s">
        <v>1023</v>
      </c>
      <c r="H189" s="4" t="s">
        <v>338</v>
      </c>
      <c r="I189" s="5" t="s">
        <v>339</v>
      </c>
      <c r="J189" s="4" t="s">
        <v>415</v>
      </c>
      <c r="K189" s="5"/>
      <c r="L189" s="28">
        <v>0.1</v>
      </c>
    </row>
    <row r="190" spans="1:12" ht="50" customHeight="1" x14ac:dyDescent="0.35">
      <c r="A190" s="2">
        <v>1188</v>
      </c>
      <c r="B190" s="2" t="s">
        <v>1010</v>
      </c>
      <c r="C190" s="3" t="s">
        <v>1011</v>
      </c>
      <c r="D190" s="22" t="s">
        <v>1024</v>
      </c>
      <c r="E190" s="22" t="s">
        <v>1025</v>
      </c>
      <c r="F190" s="2">
        <v>2</v>
      </c>
      <c r="G190" s="22" t="s">
        <v>1026</v>
      </c>
      <c r="H190" s="2"/>
      <c r="I190" s="3" t="s">
        <v>414</v>
      </c>
      <c r="J190" s="2" t="s">
        <v>415</v>
      </c>
      <c r="K190" s="3"/>
      <c r="L190" s="28">
        <v>0.1</v>
      </c>
    </row>
    <row r="191" spans="1:12" ht="50" customHeight="1" x14ac:dyDescent="0.35">
      <c r="A191" s="4">
        <v>1189</v>
      </c>
      <c r="B191" s="4" t="s">
        <v>1027</v>
      </c>
      <c r="C191" s="5" t="s">
        <v>1028</v>
      </c>
      <c r="D191" s="23" t="s">
        <v>1029</v>
      </c>
      <c r="E191" s="23" t="s">
        <v>1030</v>
      </c>
      <c r="F191" s="4">
        <v>1</v>
      </c>
      <c r="G191" s="23" t="s">
        <v>1031</v>
      </c>
      <c r="H191" s="4" t="s">
        <v>338</v>
      </c>
      <c r="I191" s="5" t="s">
        <v>339</v>
      </c>
      <c r="J191" s="4" t="s">
        <v>415</v>
      </c>
      <c r="K191" s="5"/>
      <c r="L191" s="28">
        <v>0.1</v>
      </c>
    </row>
    <row r="192" spans="1:12" ht="50" customHeight="1" x14ac:dyDescent="0.35">
      <c r="A192" s="2">
        <v>1190</v>
      </c>
      <c r="B192" s="2" t="s">
        <v>1027</v>
      </c>
      <c r="C192" s="3" t="s">
        <v>1028</v>
      </c>
      <c r="D192" s="22" t="s">
        <v>1032</v>
      </c>
      <c r="E192" s="22" t="s">
        <v>1033</v>
      </c>
      <c r="F192" s="2">
        <v>1</v>
      </c>
      <c r="G192" s="22" t="s">
        <v>1034</v>
      </c>
      <c r="H192" s="2" t="s">
        <v>313</v>
      </c>
      <c r="I192" s="3" t="s">
        <v>314</v>
      </c>
      <c r="J192" s="2" t="s">
        <v>415</v>
      </c>
      <c r="K192" s="3"/>
      <c r="L192" s="28">
        <v>0.1</v>
      </c>
    </row>
    <row r="193" spans="1:12" ht="50" customHeight="1" x14ac:dyDescent="0.35">
      <c r="A193" s="4">
        <v>1191</v>
      </c>
      <c r="B193" s="4" t="s">
        <v>1027</v>
      </c>
      <c r="C193" s="5" t="s">
        <v>1028</v>
      </c>
      <c r="D193" s="23" t="s">
        <v>1035</v>
      </c>
      <c r="E193" s="23" t="s">
        <v>1036</v>
      </c>
      <c r="F193" s="4">
        <v>1</v>
      </c>
      <c r="G193" s="23" t="s">
        <v>1037</v>
      </c>
      <c r="H193" s="4" t="s">
        <v>313</v>
      </c>
      <c r="I193" s="5" t="s">
        <v>314</v>
      </c>
      <c r="J193" s="4" t="s">
        <v>415</v>
      </c>
      <c r="K193" s="5"/>
      <c r="L193" s="28">
        <v>0.1</v>
      </c>
    </row>
    <row r="194" spans="1:12" ht="50" customHeight="1" x14ac:dyDescent="0.35">
      <c r="A194" s="2">
        <v>1192</v>
      </c>
      <c r="B194" s="2" t="s">
        <v>1027</v>
      </c>
      <c r="C194" s="3" t="s">
        <v>1028</v>
      </c>
      <c r="D194" s="22" t="s">
        <v>1038</v>
      </c>
      <c r="E194" s="22" t="s">
        <v>1039</v>
      </c>
      <c r="F194" s="2">
        <v>1</v>
      </c>
      <c r="G194" s="22" t="s">
        <v>1040</v>
      </c>
      <c r="H194" s="2"/>
      <c r="I194" s="3" t="s">
        <v>414</v>
      </c>
      <c r="J194" s="2" t="s">
        <v>415</v>
      </c>
      <c r="K194" s="3"/>
      <c r="L194" s="28">
        <v>0.1</v>
      </c>
    </row>
    <row r="195" spans="1:12" ht="50" customHeight="1" x14ac:dyDescent="0.35">
      <c r="A195" s="4">
        <v>1193</v>
      </c>
      <c r="B195" s="4" t="s">
        <v>1027</v>
      </c>
      <c r="C195" s="5" t="s">
        <v>1028</v>
      </c>
      <c r="D195" s="23" t="s">
        <v>1041</v>
      </c>
      <c r="E195" s="23" t="s">
        <v>1042</v>
      </c>
      <c r="F195" s="4">
        <v>2</v>
      </c>
      <c r="G195" s="23" t="s">
        <v>1043</v>
      </c>
      <c r="H195" s="4"/>
      <c r="I195" s="5" t="s">
        <v>414</v>
      </c>
      <c r="J195" s="4" t="s">
        <v>415</v>
      </c>
      <c r="K195" s="5"/>
      <c r="L195" s="28">
        <v>0.1</v>
      </c>
    </row>
    <row r="196" spans="1:12" ht="50" customHeight="1" x14ac:dyDescent="0.35">
      <c r="A196" s="2">
        <v>1194</v>
      </c>
      <c r="B196" s="2" t="s">
        <v>1027</v>
      </c>
      <c r="C196" s="3" t="s">
        <v>1028</v>
      </c>
      <c r="D196" s="22" t="s">
        <v>1044</v>
      </c>
      <c r="E196" s="22" t="s">
        <v>1045</v>
      </c>
      <c r="F196" s="2">
        <v>2</v>
      </c>
      <c r="G196" s="22" t="s">
        <v>1046</v>
      </c>
      <c r="H196" s="2" t="s">
        <v>338</v>
      </c>
      <c r="I196" s="3" t="s">
        <v>339</v>
      </c>
      <c r="J196" s="2" t="s">
        <v>415</v>
      </c>
      <c r="K196" s="3"/>
      <c r="L196" s="28">
        <v>0.1</v>
      </c>
    </row>
    <row r="197" spans="1:12" ht="50" customHeight="1" x14ac:dyDescent="0.35">
      <c r="A197" s="4">
        <v>1195</v>
      </c>
      <c r="B197" s="4" t="s">
        <v>1047</v>
      </c>
      <c r="C197" s="5" t="s">
        <v>1048</v>
      </c>
      <c r="D197" s="23" t="s">
        <v>1049</v>
      </c>
      <c r="E197" s="23" t="s">
        <v>1050</v>
      </c>
      <c r="F197" s="4">
        <v>1</v>
      </c>
      <c r="G197" s="23" t="s">
        <v>1051</v>
      </c>
      <c r="H197" s="4"/>
      <c r="I197" s="5" t="s">
        <v>414</v>
      </c>
      <c r="J197" s="4" t="s">
        <v>415</v>
      </c>
      <c r="K197" s="5"/>
      <c r="L197" s="28">
        <v>0.1</v>
      </c>
    </row>
    <row r="198" spans="1:12" ht="50" customHeight="1" x14ac:dyDescent="0.35">
      <c r="A198" s="2">
        <v>1196</v>
      </c>
      <c r="B198" s="2" t="s">
        <v>1047</v>
      </c>
      <c r="C198" s="3" t="s">
        <v>1048</v>
      </c>
      <c r="D198" s="22" t="s">
        <v>1052</v>
      </c>
      <c r="E198" s="22" t="s">
        <v>1053</v>
      </c>
      <c r="F198" s="2">
        <v>1</v>
      </c>
      <c r="G198" s="22" t="s">
        <v>1054</v>
      </c>
      <c r="H198" s="2" t="s">
        <v>298</v>
      </c>
      <c r="I198" s="3" t="s">
        <v>299</v>
      </c>
      <c r="J198" s="2" t="s">
        <v>415</v>
      </c>
      <c r="K198" s="3"/>
      <c r="L198" s="28">
        <v>0.1</v>
      </c>
    </row>
    <row r="199" spans="1:12" ht="50" customHeight="1" x14ac:dyDescent="0.35">
      <c r="A199" s="4">
        <v>1197</v>
      </c>
      <c r="B199" s="4" t="s">
        <v>1047</v>
      </c>
      <c r="C199" s="5" t="s">
        <v>1048</v>
      </c>
      <c r="D199" s="23" t="s">
        <v>1055</v>
      </c>
      <c r="E199" s="23" t="s">
        <v>1056</v>
      </c>
      <c r="F199" s="4">
        <v>1</v>
      </c>
      <c r="G199" s="23" t="s">
        <v>1057</v>
      </c>
      <c r="H199" s="4"/>
      <c r="I199" s="5" t="s">
        <v>414</v>
      </c>
      <c r="J199" s="4" t="s">
        <v>415</v>
      </c>
      <c r="K199" s="5"/>
      <c r="L199" s="28">
        <v>0.1</v>
      </c>
    </row>
    <row r="200" spans="1:12" ht="50" customHeight="1" x14ac:dyDescent="0.35">
      <c r="A200" s="2">
        <v>1198</v>
      </c>
      <c r="B200" s="2" t="s">
        <v>1047</v>
      </c>
      <c r="C200" s="3" t="s">
        <v>1048</v>
      </c>
      <c r="D200" s="22" t="s">
        <v>1058</v>
      </c>
      <c r="E200" s="22" t="s">
        <v>1059</v>
      </c>
      <c r="F200" s="2">
        <v>1</v>
      </c>
      <c r="G200" s="22" t="s">
        <v>1060</v>
      </c>
      <c r="H200" s="2"/>
      <c r="I200" s="3" t="s">
        <v>414</v>
      </c>
      <c r="J200" s="2" t="s">
        <v>415</v>
      </c>
      <c r="K200" s="3"/>
      <c r="L200" s="28">
        <v>0.1</v>
      </c>
    </row>
    <row r="201" spans="1:12" ht="50" customHeight="1" x14ac:dyDescent="0.35">
      <c r="A201" s="4">
        <v>1199</v>
      </c>
      <c r="B201" s="4" t="s">
        <v>1047</v>
      </c>
      <c r="C201" s="5" t="s">
        <v>1048</v>
      </c>
      <c r="D201" s="23" t="s">
        <v>1061</v>
      </c>
      <c r="E201" s="23" t="s">
        <v>1062</v>
      </c>
      <c r="F201" s="4">
        <v>2</v>
      </c>
      <c r="G201" s="23" t="s">
        <v>1063</v>
      </c>
      <c r="H201" s="4" t="s">
        <v>298</v>
      </c>
      <c r="I201" s="5" t="s">
        <v>299</v>
      </c>
      <c r="J201" s="4" t="s">
        <v>415</v>
      </c>
      <c r="K201" s="5"/>
      <c r="L201" s="28">
        <v>0.1</v>
      </c>
    </row>
    <row r="202" spans="1:12" ht="50" customHeight="1" x14ac:dyDescent="0.35">
      <c r="A202" s="2">
        <v>1200</v>
      </c>
      <c r="B202" s="2" t="s">
        <v>1047</v>
      </c>
      <c r="C202" s="3" t="s">
        <v>1048</v>
      </c>
      <c r="D202" s="22" t="s">
        <v>1064</v>
      </c>
      <c r="E202" s="22" t="s">
        <v>1065</v>
      </c>
      <c r="F202" s="2">
        <v>2</v>
      </c>
      <c r="G202" s="22" t="s">
        <v>1066</v>
      </c>
      <c r="H202" s="2" t="s">
        <v>298</v>
      </c>
      <c r="I202" s="3" t="s">
        <v>299</v>
      </c>
      <c r="J202" s="2" t="s">
        <v>415</v>
      </c>
      <c r="K202" s="3"/>
      <c r="L202" s="28">
        <v>0.1</v>
      </c>
    </row>
    <row r="203" spans="1:12" ht="50" customHeight="1" x14ac:dyDescent="0.35">
      <c r="A203" s="4">
        <v>1201</v>
      </c>
      <c r="B203" s="4" t="s">
        <v>1047</v>
      </c>
      <c r="C203" s="5" t="s">
        <v>1048</v>
      </c>
      <c r="D203" s="23" t="s">
        <v>1067</v>
      </c>
      <c r="E203" s="23" t="s">
        <v>1068</v>
      </c>
      <c r="F203" s="4">
        <v>2</v>
      </c>
      <c r="G203" s="23" t="s">
        <v>1069</v>
      </c>
      <c r="H203" s="4" t="s">
        <v>298</v>
      </c>
      <c r="I203" s="5" t="s">
        <v>299</v>
      </c>
      <c r="J203" s="4" t="s">
        <v>415</v>
      </c>
      <c r="K203" s="5"/>
      <c r="L203" s="28">
        <v>0.1</v>
      </c>
    </row>
    <row r="204" spans="1:12" ht="50" customHeight="1" x14ac:dyDescent="0.35">
      <c r="A204" s="2">
        <v>1202</v>
      </c>
      <c r="B204" s="2" t="s">
        <v>1070</v>
      </c>
      <c r="C204" s="3" t="s">
        <v>1071</v>
      </c>
      <c r="D204" s="22" t="s">
        <v>1072</v>
      </c>
      <c r="E204" s="22" t="s">
        <v>1073</v>
      </c>
      <c r="F204" s="2">
        <v>3</v>
      </c>
      <c r="G204" s="22" t="s">
        <v>1074</v>
      </c>
      <c r="H204" s="2" t="s">
        <v>338</v>
      </c>
      <c r="I204" s="3" t="s">
        <v>339</v>
      </c>
      <c r="J204" s="2" t="s">
        <v>415</v>
      </c>
      <c r="K204" s="3"/>
      <c r="L204" s="28">
        <v>0.1</v>
      </c>
    </row>
    <row r="205" spans="1:12" ht="50" customHeight="1" x14ac:dyDescent="0.35">
      <c r="A205" s="4">
        <v>1203</v>
      </c>
      <c r="B205" s="4" t="s">
        <v>1070</v>
      </c>
      <c r="C205" s="5" t="s">
        <v>1071</v>
      </c>
      <c r="D205" s="23" t="s">
        <v>1075</v>
      </c>
      <c r="E205" s="23" t="s">
        <v>1076</v>
      </c>
      <c r="F205" s="4">
        <v>2</v>
      </c>
      <c r="G205" s="23" t="s">
        <v>1077</v>
      </c>
      <c r="H205" s="4"/>
      <c r="I205" s="5" t="s">
        <v>414</v>
      </c>
      <c r="J205" s="4" t="s">
        <v>415</v>
      </c>
      <c r="K205" s="5"/>
      <c r="L205" s="28">
        <v>0.1</v>
      </c>
    </row>
    <row r="206" spans="1:12" ht="50" customHeight="1" x14ac:dyDescent="0.35">
      <c r="A206" s="2">
        <v>1204</v>
      </c>
      <c r="B206" s="2" t="s">
        <v>1078</v>
      </c>
      <c r="C206" s="3" t="s">
        <v>1079</v>
      </c>
      <c r="D206" s="22" t="s">
        <v>1080</v>
      </c>
      <c r="E206" s="22" t="s">
        <v>1081</v>
      </c>
      <c r="F206" s="2">
        <v>1</v>
      </c>
      <c r="G206" s="22" t="s">
        <v>1082</v>
      </c>
      <c r="H206" s="2" t="s">
        <v>298</v>
      </c>
      <c r="I206" s="3" t="s">
        <v>299</v>
      </c>
      <c r="J206" s="2" t="s">
        <v>415</v>
      </c>
      <c r="K206" s="3"/>
      <c r="L206" s="28">
        <v>0.1</v>
      </c>
    </row>
    <row r="207" spans="1:12" ht="50" customHeight="1" x14ac:dyDescent="0.35">
      <c r="A207" s="4">
        <v>1205</v>
      </c>
      <c r="B207" s="4" t="s">
        <v>1078</v>
      </c>
      <c r="C207" s="5" t="s">
        <v>1079</v>
      </c>
      <c r="D207" s="23" t="s">
        <v>1083</v>
      </c>
      <c r="E207" s="23" t="s">
        <v>1084</v>
      </c>
      <c r="F207" s="4">
        <v>1</v>
      </c>
      <c r="G207" s="23" t="s">
        <v>1085</v>
      </c>
      <c r="H207" s="4" t="s">
        <v>298</v>
      </c>
      <c r="I207" s="5" t="s">
        <v>299</v>
      </c>
      <c r="J207" s="4" t="s">
        <v>415</v>
      </c>
      <c r="K207" s="5"/>
      <c r="L207" s="28">
        <v>0.1</v>
      </c>
    </row>
    <row r="208" spans="1:12" ht="50" customHeight="1" x14ac:dyDescent="0.35">
      <c r="A208" s="2">
        <v>1206</v>
      </c>
      <c r="B208" s="2" t="s">
        <v>1078</v>
      </c>
      <c r="C208" s="3" t="s">
        <v>1079</v>
      </c>
      <c r="D208" s="22" t="s">
        <v>1086</v>
      </c>
      <c r="E208" s="22" t="s">
        <v>1087</v>
      </c>
      <c r="F208" s="2">
        <v>1</v>
      </c>
      <c r="G208" s="22" t="s">
        <v>1088</v>
      </c>
      <c r="H208" s="2" t="s">
        <v>298</v>
      </c>
      <c r="I208" s="3" t="s">
        <v>299</v>
      </c>
      <c r="J208" s="2" t="s">
        <v>415</v>
      </c>
      <c r="K208" s="3"/>
      <c r="L208" s="28">
        <v>0.1</v>
      </c>
    </row>
    <row r="209" spans="1:12" ht="50" customHeight="1" x14ac:dyDescent="0.35">
      <c r="A209" s="4">
        <v>1207</v>
      </c>
      <c r="B209" s="4" t="s">
        <v>1089</v>
      </c>
      <c r="C209" s="5" t="s">
        <v>1090</v>
      </c>
      <c r="D209" s="23" t="s">
        <v>1091</v>
      </c>
      <c r="E209" s="23" t="s">
        <v>1092</v>
      </c>
      <c r="F209" s="4">
        <v>1</v>
      </c>
      <c r="G209" s="23" t="s">
        <v>1093</v>
      </c>
      <c r="H209" s="4" t="s">
        <v>298</v>
      </c>
      <c r="I209" s="5" t="s">
        <v>299</v>
      </c>
      <c r="J209" s="4" t="s">
        <v>415</v>
      </c>
      <c r="K209" s="5"/>
      <c r="L209" s="28">
        <v>0.1</v>
      </c>
    </row>
    <row r="210" spans="1:12" ht="50" customHeight="1" x14ac:dyDescent="0.35">
      <c r="A210" s="2">
        <v>1208</v>
      </c>
      <c r="B210" s="2" t="s">
        <v>1089</v>
      </c>
      <c r="C210" s="3" t="s">
        <v>1090</v>
      </c>
      <c r="D210" s="22" t="s">
        <v>1094</v>
      </c>
      <c r="E210" s="22" t="s">
        <v>1095</v>
      </c>
      <c r="F210" s="2">
        <v>1</v>
      </c>
      <c r="G210" s="22" t="s">
        <v>1096</v>
      </c>
      <c r="H210" s="2" t="s">
        <v>303</v>
      </c>
      <c r="I210" s="3" t="s">
        <v>304</v>
      </c>
      <c r="J210" s="2" t="s">
        <v>415</v>
      </c>
      <c r="K210" s="3"/>
      <c r="L210" s="28">
        <v>0.1</v>
      </c>
    </row>
    <row r="211" spans="1:12" ht="50" customHeight="1" x14ac:dyDescent="0.35">
      <c r="A211" s="4">
        <v>1209</v>
      </c>
      <c r="B211" s="4" t="s">
        <v>1089</v>
      </c>
      <c r="C211" s="5" t="s">
        <v>1090</v>
      </c>
      <c r="D211" s="23" t="s">
        <v>1097</v>
      </c>
      <c r="E211" s="23" t="s">
        <v>1098</v>
      </c>
      <c r="F211" s="4">
        <v>1</v>
      </c>
      <c r="G211" s="23" t="s">
        <v>1099</v>
      </c>
      <c r="H211" s="4" t="s">
        <v>293</v>
      </c>
      <c r="I211" s="5" t="s">
        <v>294</v>
      </c>
      <c r="J211" s="4" t="s">
        <v>415</v>
      </c>
      <c r="K211" s="5"/>
      <c r="L211" s="28">
        <v>0.1</v>
      </c>
    </row>
    <row r="212" spans="1:12" ht="50" customHeight="1" x14ac:dyDescent="0.35">
      <c r="A212" s="2">
        <v>1210</v>
      </c>
      <c r="B212" s="2" t="s">
        <v>1100</v>
      </c>
      <c r="C212" s="3" t="s">
        <v>1101</v>
      </c>
      <c r="D212" s="22" t="s">
        <v>1102</v>
      </c>
      <c r="E212" s="22" t="s">
        <v>1103</v>
      </c>
      <c r="F212" s="2">
        <v>2</v>
      </c>
      <c r="G212" s="22" t="s">
        <v>1104</v>
      </c>
      <c r="H212" s="2" t="s">
        <v>303</v>
      </c>
      <c r="I212" s="3" t="s">
        <v>304</v>
      </c>
      <c r="J212" s="2" t="s">
        <v>415</v>
      </c>
      <c r="K212" s="3"/>
      <c r="L212" s="28">
        <v>0.1</v>
      </c>
    </row>
    <row r="213" spans="1:12" ht="50" customHeight="1" x14ac:dyDescent="0.35">
      <c r="A213" s="4">
        <v>1211</v>
      </c>
      <c r="B213" s="4" t="s">
        <v>1100</v>
      </c>
      <c r="C213" s="5" t="s">
        <v>1101</v>
      </c>
      <c r="D213" s="23" t="s">
        <v>1105</v>
      </c>
      <c r="E213" s="23" t="s">
        <v>1106</v>
      </c>
      <c r="F213" s="4">
        <v>1</v>
      </c>
      <c r="G213" s="23" t="s">
        <v>1107</v>
      </c>
      <c r="H213" s="4" t="s">
        <v>303</v>
      </c>
      <c r="I213" s="5" t="s">
        <v>304</v>
      </c>
      <c r="J213" s="4" t="s">
        <v>415</v>
      </c>
      <c r="K213" s="5"/>
      <c r="L213" s="28">
        <v>0.1</v>
      </c>
    </row>
    <row r="214" spans="1:12" ht="50" customHeight="1" x14ac:dyDescent="0.35">
      <c r="A214" s="2">
        <v>1212</v>
      </c>
      <c r="B214" s="2" t="s">
        <v>1100</v>
      </c>
      <c r="C214" s="3" t="s">
        <v>1101</v>
      </c>
      <c r="D214" s="22" t="s">
        <v>1108</v>
      </c>
      <c r="E214" s="22" t="s">
        <v>1109</v>
      </c>
      <c r="F214" s="2">
        <v>2</v>
      </c>
      <c r="G214" s="22" t="s">
        <v>1110</v>
      </c>
      <c r="H214" s="2" t="s">
        <v>303</v>
      </c>
      <c r="I214" s="3" t="s">
        <v>304</v>
      </c>
      <c r="J214" s="2" t="s">
        <v>415</v>
      </c>
      <c r="K214" s="3"/>
      <c r="L214" s="28">
        <v>0.1</v>
      </c>
    </row>
    <row r="215" spans="1:12" ht="50" customHeight="1" x14ac:dyDescent="0.35">
      <c r="A215" s="4">
        <v>1213</v>
      </c>
      <c r="B215" s="4" t="s">
        <v>1100</v>
      </c>
      <c r="C215" s="5" t="s">
        <v>1101</v>
      </c>
      <c r="D215" s="23" t="s">
        <v>1111</v>
      </c>
      <c r="E215" s="23" t="s">
        <v>1112</v>
      </c>
      <c r="F215" s="4">
        <v>2</v>
      </c>
      <c r="G215" s="23" t="s">
        <v>1113</v>
      </c>
      <c r="H215" s="4" t="s">
        <v>298</v>
      </c>
      <c r="I215" s="5" t="s">
        <v>299</v>
      </c>
      <c r="J215" s="4" t="s">
        <v>415</v>
      </c>
      <c r="K215" s="5"/>
      <c r="L215" s="28">
        <v>0.1</v>
      </c>
    </row>
    <row r="216" spans="1:12" ht="50" customHeight="1" x14ac:dyDescent="0.35">
      <c r="A216" s="2">
        <v>1214</v>
      </c>
      <c r="B216" s="2" t="s">
        <v>1114</v>
      </c>
      <c r="C216" s="3" t="s">
        <v>1115</v>
      </c>
      <c r="D216" s="22" t="s">
        <v>1116</v>
      </c>
      <c r="E216" s="22" t="s">
        <v>1117</v>
      </c>
      <c r="F216" s="2">
        <v>1</v>
      </c>
      <c r="G216" s="22" t="s">
        <v>1118</v>
      </c>
      <c r="H216" s="2" t="s">
        <v>303</v>
      </c>
      <c r="I216" s="3" t="s">
        <v>304</v>
      </c>
      <c r="J216" s="2" t="s">
        <v>415</v>
      </c>
      <c r="K216" s="3"/>
      <c r="L216" s="28">
        <v>0.1</v>
      </c>
    </row>
    <row r="217" spans="1:12" ht="50" customHeight="1" x14ac:dyDescent="0.35">
      <c r="A217" s="4">
        <v>1215</v>
      </c>
      <c r="B217" s="4" t="s">
        <v>1114</v>
      </c>
      <c r="C217" s="5" t="s">
        <v>1115</v>
      </c>
      <c r="D217" s="23" t="s">
        <v>1119</v>
      </c>
      <c r="E217" s="23" t="s">
        <v>1120</v>
      </c>
      <c r="F217" s="4">
        <v>2</v>
      </c>
      <c r="G217" s="23" t="s">
        <v>1121</v>
      </c>
      <c r="H217" s="4" t="s">
        <v>298</v>
      </c>
      <c r="I217" s="5" t="s">
        <v>299</v>
      </c>
      <c r="J217" s="4" t="s">
        <v>415</v>
      </c>
      <c r="K217" s="5"/>
      <c r="L217" s="28">
        <v>0.1</v>
      </c>
    </row>
    <row r="218" spans="1:12" ht="50" customHeight="1" x14ac:dyDescent="0.35">
      <c r="A218" s="2">
        <v>1216</v>
      </c>
      <c r="B218" s="2" t="s">
        <v>1122</v>
      </c>
      <c r="C218" s="3" t="s">
        <v>1123</v>
      </c>
      <c r="D218" s="22" t="s">
        <v>1124</v>
      </c>
      <c r="E218" s="22" t="s">
        <v>1125</v>
      </c>
      <c r="F218" s="2">
        <v>1</v>
      </c>
      <c r="G218" s="22" t="s">
        <v>1126</v>
      </c>
      <c r="H218" s="2"/>
      <c r="I218" s="3" t="s">
        <v>414</v>
      </c>
      <c r="J218" s="2" t="s">
        <v>415</v>
      </c>
      <c r="K218" s="3"/>
      <c r="L218" s="28">
        <v>0.1</v>
      </c>
    </row>
    <row r="219" spans="1:12" ht="50" customHeight="1" x14ac:dyDescent="0.35">
      <c r="A219" s="4">
        <v>1217</v>
      </c>
      <c r="B219" s="4" t="s">
        <v>1122</v>
      </c>
      <c r="C219" s="5" t="s">
        <v>1123</v>
      </c>
      <c r="D219" s="23" t="s">
        <v>1127</v>
      </c>
      <c r="E219" s="23" t="s">
        <v>1128</v>
      </c>
      <c r="F219" s="4">
        <v>1</v>
      </c>
      <c r="G219" s="23" t="s">
        <v>1129</v>
      </c>
      <c r="H219" s="4"/>
      <c r="I219" s="5" t="s">
        <v>414</v>
      </c>
      <c r="J219" s="4" t="s">
        <v>415</v>
      </c>
      <c r="K219" s="5"/>
      <c r="L219" s="28">
        <v>0.1</v>
      </c>
    </row>
    <row r="220" spans="1:12" ht="50" customHeight="1" x14ac:dyDescent="0.35">
      <c r="A220" s="2">
        <v>1218</v>
      </c>
      <c r="B220" s="2" t="s">
        <v>1122</v>
      </c>
      <c r="C220" s="3" t="s">
        <v>1123</v>
      </c>
      <c r="D220" s="22" t="s">
        <v>1130</v>
      </c>
      <c r="E220" s="22" t="s">
        <v>1131</v>
      </c>
      <c r="F220" s="2">
        <v>2</v>
      </c>
      <c r="G220" s="22" t="s">
        <v>1132</v>
      </c>
      <c r="H220" s="2"/>
      <c r="I220" s="3" t="s">
        <v>414</v>
      </c>
      <c r="J220" s="2" t="s">
        <v>415</v>
      </c>
      <c r="K220" s="3"/>
      <c r="L220" s="28">
        <v>0.1</v>
      </c>
    </row>
    <row r="221" spans="1:12" ht="50" customHeight="1" x14ac:dyDescent="0.35">
      <c r="A221" s="4">
        <v>1219</v>
      </c>
      <c r="B221" s="4" t="s">
        <v>1122</v>
      </c>
      <c r="C221" s="5" t="s">
        <v>1123</v>
      </c>
      <c r="D221" s="23" t="s">
        <v>1133</v>
      </c>
      <c r="E221" s="23" t="s">
        <v>1134</v>
      </c>
      <c r="F221" s="4">
        <v>1</v>
      </c>
      <c r="G221" s="23" t="s">
        <v>1135</v>
      </c>
      <c r="H221" s="4"/>
      <c r="I221" s="5" t="s">
        <v>414</v>
      </c>
      <c r="J221" s="4" t="s">
        <v>415</v>
      </c>
      <c r="K221" s="5"/>
      <c r="L221" s="28">
        <v>0.1</v>
      </c>
    </row>
    <row r="222" spans="1:12" ht="50" customHeight="1" x14ac:dyDescent="0.35">
      <c r="A222" s="2">
        <v>1220</v>
      </c>
      <c r="B222" s="2" t="s">
        <v>1122</v>
      </c>
      <c r="C222" s="3" t="s">
        <v>1123</v>
      </c>
      <c r="D222" s="22" t="s">
        <v>822</v>
      </c>
      <c r="E222" s="22" t="s">
        <v>1136</v>
      </c>
      <c r="F222" s="2">
        <v>1</v>
      </c>
      <c r="G222" s="22" t="s">
        <v>1137</v>
      </c>
      <c r="H222" s="2"/>
      <c r="I222" s="3" t="s">
        <v>414</v>
      </c>
      <c r="J222" s="2" t="s">
        <v>415</v>
      </c>
      <c r="K222" s="3"/>
      <c r="L222" s="28">
        <v>0.1</v>
      </c>
    </row>
    <row r="223" spans="1:12" ht="50" customHeight="1" x14ac:dyDescent="0.35">
      <c r="A223" s="4">
        <v>1221</v>
      </c>
      <c r="B223" s="4" t="s">
        <v>1122</v>
      </c>
      <c r="C223" s="5" t="s">
        <v>1123</v>
      </c>
      <c r="D223" s="23" t="s">
        <v>798</v>
      </c>
      <c r="E223" s="23" t="s">
        <v>1138</v>
      </c>
      <c r="F223" s="4">
        <v>2</v>
      </c>
      <c r="G223" s="23" t="s">
        <v>1139</v>
      </c>
      <c r="H223" s="4"/>
      <c r="I223" s="5" t="s">
        <v>414</v>
      </c>
      <c r="J223" s="4" t="s">
        <v>415</v>
      </c>
      <c r="K223" s="5"/>
      <c r="L223" s="28">
        <v>0.1</v>
      </c>
    </row>
    <row r="224" spans="1:12" ht="50" customHeight="1" x14ac:dyDescent="0.35">
      <c r="A224" s="2">
        <v>1222</v>
      </c>
      <c r="B224" s="2" t="s">
        <v>1122</v>
      </c>
      <c r="C224" s="3" t="s">
        <v>1123</v>
      </c>
      <c r="D224" s="22" t="s">
        <v>1140</v>
      </c>
      <c r="E224" s="22" t="s">
        <v>1141</v>
      </c>
      <c r="F224" s="2">
        <v>2</v>
      </c>
      <c r="G224" s="22" t="s">
        <v>1142</v>
      </c>
      <c r="H224" s="2"/>
      <c r="I224" s="3" t="s">
        <v>414</v>
      </c>
      <c r="J224" s="2" t="s">
        <v>415</v>
      </c>
      <c r="K224" s="3"/>
      <c r="L224" s="28">
        <v>0.1</v>
      </c>
    </row>
    <row r="225" spans="1:12" ht="50" customHeight="1" x14ac:dyDescent="0.35">
      <c r="A225" s="4">
        <v>1223</v>
      </c>
      <c r="B225" s="4" t="s">
        <v>1143</v>
      </c>
      <c r="C225" s="5" t="s">
        <v>1144</v>
      </c>
      <c r="D225" s="23" t="s">
        <v>1145</v>
      </c>
      <c r="E225" s="23" t="s">
        <v>1146</v>
      </c>
      <c r="F225" s="4">
        <v>1</v>
      </c>
      <c r="G225" s="23" t="s">
        <v>1147</v>
      </c>
      <c r="H225" s="4"/>
      <c r="I225" s="5" t="s">
        <v>414</v>
      </c>
      <c r="J225" s="4" t="s">
        <v>415</v>
      </c>
      <c r="K225" s="5"/>
      <c r="L225" s="28">
        <v>0.1</v>
      </c>
    </row>
    <row r="226" spans="1:12" ht="50" customHeight="1" x14ac:dyDescent="0.35">
      <c r="A226" s="2">
        <v>1224</v>
      </c>
      <c r="B226" s="2" t="s">
        <v>1148</v>
      </c>
      <c r="C226" s="3" t="s">
        <v>1149</v>
      </c>
      <c r="D226" s="22" t="s">
        <v>1150</v>
      </c>
      <c r="E226" s="22" t="s">
        <v>1151</v>
      </c>
      <c r="F226" s="2">
        <v>1</v>
      </c>
      <c r="G226" s="22" t="s">
        <v>1152</v>
      </c>
      <c r="H226" s="2" t="s">
        <v>293</v>
      </c>
      <c r="I226" s="3" t="s">
        <v>294</v>
      </c>
      <c r="J226" s="2" t="s">
        <v>415</v>
      </c>
      <c r="K226" s="3"/>
      <c r="L226" s="28">
        <v>0.1</v>
      </c>
    </row>
    <row r="227" spans="1:12" ht="50" customHeight="1" x14ac:dyDescent="0.35">
      <c r="A227" s="4">
        <v>1225</v>
      </c>
      <c r="B227" s="4" t="s">
        <v>1148</v>
      </c>
      <c r="C227" s="5" t="s">
        <v>1149</v>
      </c>
      <c r="D227" s="23" t="s">
        <v>1153</v>
      </c>
      <c r="E227" s="23" t="s">
        <v>1154</v>
      </c>
      <c r="F227" s="4">
        <v>1</v>
      </c>
      <c r="G227" s="23" t="s">
        <v>1155</v>
      </c>
      <c r="H227" s="4"/>
      <c r="I227" s="5" t="s">
        <v>414</v>
      </c>
      <c r="J227" s="4" t="s">
        <v>415</v>
      </c>
      <c r="K227" s="5"/>
      <c r="L227" s="28">
        <v>0.1</v>
      </c>
    </row>
    <row r="228" spans="1:12" ht="50" customHeight="1" x14ac:dyDescent="0.35">
      <c r="A228" s="2">
        <v>1226</v>
      </c>
      <c r="B228" s="2" t="s">
        <v>1148</v>
      </c>
      <c r="C228" s="3" t="s">
        <v>1149</v>
      </c>
      <c r="D228" s="22" t="s">
        <v>1156</v>
      </c>
      <c r="E228" s="22" t="s">
        <v>1157</v>
      </c>
      <c r="F228" s="2">
        <v>2</v>
      </c>
      <c r="G228" s="22" t="s">
        <v>1158</v>
      </c>
      <c r="H228" s="2"/>
      <c r="I228" s="3" t="s">
        <v>414</v>
      </c>
      <c r="J228" s="2" t="s">
        <v>415</v>
      </c>
      <c r="K228" s="3"/>
      <c r="L228" s="28">
        <v>0.1</v>
      </c>
    </row>
    <row r="229" spans="1:12" ht="50" customHeight="1" x14ac:dyDescent="0.35">
      <c r="A229" s="4">
        <v>1227</v>
      </c>
      <c r="B229" s="4" t="s">
        <v>1148</v>
      </c>
      <c r="C229" s="5" t="s">
        <v>1149</v>
      </c>
      <c r="D229" s="23" t="s">
        <v>1159</v>
      </c>
      <c r="E229" s="23" t="s">
        <v>1160</v>
      </c>
      <c r="F229" s="4">
        <v>2</v>
      </c>
      <c r="G229" s="23" t="s">
        <v>1161</v>
      </c>
      <c r="H229" s="4" t="s">
        <v>298</v>
      </c>
      <c r="I229" s="5" t="s">
        <v>299</v>
      </c>
      <c r="J229" s="4" t="s">
        <v>415</v>
      </c>
      <c r="K229" s="5"/>
      <c r="L229" s="28">
        <v>0.1</v>
      </c>
    </row>
    <row r="230" spans="1:12" ht="50" customHeight="1" x14ac:dyDescent="0.35">
      <c r="A230" s="2">
        <v>1228</v>
      </c>
      <c r="B230" s="2" t="s">
        <v>1162</v>
      </c>
      <c r="C230" s="3" t="s">
        <v>1163</v>
      </c>
      <c r="D230" s="22" t="s">
        <v>1164</v>
      </c>
      <c r="E230" s="22" t="s">
        <v>1165</v>
      </c>
      <c r="F230" s="2">
        <v>1</v>
      </c>
      <c r="G230" s="22" t="s">
        <v>1166</v>
      </c>
      <c r="H230" s="2" t="s">
        <v>298</v>
      </c>
      <c r="I230" s="3" t="s">
        <v>299</v>
      </c>
      <c r="J230" s="2" t="s">
        <v>415</v>
      </c>
      <c r="K230" s="3"/>
      <c r="L230" s="28">
        <v>0.1</v>
      </c>
    </row>
    <row r="231" spans="1:12" ht="50" customHeight="1" x14ac:dyDescent="0.35">
      <c r="A231" s="4">
        <v>1229</v>
      </c>
      <c r="B231" s="4" t="s">
        <v>1162</v>
      </c>
      <c r="C231" s="5" t="s">
        <v>1163</v>
      </c>
      <c r="D231" s="23" t="s">
        <v>1167</v>
      </c>
      <c r="E231" s="23" t="s">
        <v>1168</v>
      </c>
      <c r="F231" s="4">
        <v>1</v>
      </c>
      <c r="G231" s="23" t="s">
        <v>1169</v>
      </c>
      <c r="H231" s="4" t="s">
        <v>298</v>
      </c>
      <c r="I231" s="5" t="s">
        <v>299</v>
      </c>
      <c r="J231" s="4" t="s">
        <v>415</v>
      </c>
      <c r="K231" s="5"/>
      <c r="L231" s="28">
        <v>0.1</v>
      </c>
    </row>
    <row r="232" spans="1:12" ht="50" customHeight="1" x14ac:dyDescent="0.35">
      <c r="A232" s="2">
        <v>1230</v>
      </c>
      <c r="B232" s="2" t="s">
        <v>1162</v>
      </c>
      <c r="C232" s="3" t="s">
        <v>1163</v>
      </c>
      <c r="D232" s="22" t="s">
        <v>1170</v>
      </c>
      <c r="E232" s="22" t="s">
        <v>1171</v>
      </c>
      <c r="F232" s="2">
        <v>1</v>
      </c>
      <c r="G232" s="22" t="s">
        <v>1172</v>
      </c>
      <c r="H232" s="2" t="s">
        <v>298</v>
      </c>
      <c r="I232" s="3" t="s">
        <v>299</v>
      </c>
      <c r="J232" s="2" t="s">
        <v>415</v>
      </c>
      <c r="K232" s="3"/>
      <c r="L232" s="28">
        <v>0.1</v>
      </c>
    </row>
    <row r="233" spans="1:12" ht="50" customHeight="1" x14ac:dyDescent="0.35">
      <c r="A233" s="4">
        <v>1231</v>
      </c>
      <c r="B233" s="4" t="s">
        <v>1162</v>
      </c>
      <c r="C233" s="5" t="s">
        <v>1163</v>
      </c>
      <c r="D233" s="23" t="s">
        <v>1173</v>
      </c>
      <c r="E233" s="23" t="s">
        <v>1174</v>
      </c>
      <c r="F233" s="4">
        <v>1</v>
      </c>
      <c r="G233" s="23" t="s">
        <v>1175</v>
      </c>
      <c r="H233" s="4" t="s">
        <v>298</v>
      </c>
      <c r="I233" s="5" t="s">
        <v>299</v>
      </c>
      <c r="J233" s="4" t="s">
        <v>415</v>
      </c>
      <c r="K233" s="5"/>
      <c r="L233" s="28">
        <v>0.1</v>
      </c>
    </row>
    <row r="234" spans="1:12" ht="50" customHeight="1" x14ac:dyDescent="0.35">
      <c r="A234" s="2">
        <v>1232</v>
      </c>
      <c r="B234" s="2" t="s">
        <v>1176</v>
      </c>
      <c r="C234" s="3" t="s">
        <v>1177</v>
      </c>
      <c r="D234" s="22" t="s">
        <v>1178</v>
      </c>
      <c r="E234" s="22" t="s">
        <v>1179</v>
      </c>
      <c r="F234" s="2">
        <v>1</v>
      </c>
      <c r="G234" s="22" t="s">
        <v>1180</v>
      </c>
      <c r="H234" s="2" t="s">
        <v>298</v>
      </c>
      <c r="I234" s="3" t="s">
        <v>299</v>
      </c>
      <c r="J234" s="2" t="s">
        <v>415</v>
      </c>
      <c r="K234" s="3"/>
      <c r="L234" s="28">
        <v>0.1</v>
      </c>
    </row>
    <row r="235" spans="1:12" ht="50" customHeight="1" x14ac:dyDescent="0.35">
      <c r="A235" s="4">
        <v>1233</v>
      </c>
      <c r="B235" s="4" t="s">
        <v>1176</v>
      </c>
      <c r="C235" s="5" t="s">
        <v>1177</v>
      </c>
      <c r="D235" s="23" t="s">
        <v>1181</v>
      </c>
      <c r="E235" s="23" t="s">
        <v>1182</v>
      </c>
      <c r="F235" s="4">
        <v>1</v>
      </c>
      <c r="G235" s="23" t="s">
        <v>1183</v>
      </c>
      <c r="H235" s="4" t="s">
        <v>298</v>
      </c>
      <c r="I235" s="5" t="s">
        <v>299</v>
      </c>
      <c r="J235" s="4" t="s">
        <v>415</v>
      </c>
      <c r="K235" s="5"/>
      <c r="L235" s="28">
        <v>0.1</v>
      </c>
    </row>
    <row r="236" spans="1:12" ht="50" customHeight="1" x14ac:dyDescent="0.35">
      <c r="A236" s="2">
        <v>1234</v>
      </c>
      <c r="B236" s="2" t="s">
        <v>1176</v>
      </c>
      <c r="C236" s="3" t="s">
        <v>1177</v>
      </c>
      <c r="D236" s="22" t="s">
        <v>1184</v>
      </c>
      <c r="E236" s="22" t="s">
        <v>1185</v>
      </c>
      <c r="F236" s="2">
        <v>2</v>
      </c>
      <c r="G236" s="22" t="s">
        <v>1186</v>
      </c>
      <c r="H236" s="2" t="s">
        <v>298</v>
      </c>
      <c r="I236" s="3" t="s">
        <v>299</v>
      </c>
      <c r="J236" s="2" t="s">
        <v>415</v>
      </c>
      <c r="K236" s="3"/>
      <c r="L236" s="28">
        <v>0.1</v>
      </c>
    </row>
    <row r="237" spans="1:12" ht="50" customHeight="1" x14ac:dyDescent="0.35">
      <c r="A237" s="4">
        <v>1235</v>
      </c>
      <c r="B237" s="4" t="s">
        <v>1176</v>
      </c>
      <c r="C237" s="5" t="s">
        <v>1177</v>
      </c>
      <c r="D237" s="23" t="s">
        <v>1187</v>
      </c>
      <c r="E237" s="23" t="s">
        <v>1188</v>
      </c>
      <c r="F237" s="4">
        <v>1</v>
      </c>
      <c r="G237" s="23" t="s">
        <v>1189</v>
      </c>
      <c r="H237" s="4" t="s">
        <v>298</v>
      </c>
      <c r="I237" s="5" t="s">
        <v>299</v>
      </c>
      <c r="J237" s="4" t="s">
        <v>415</v>
      </c>
      <c r="K237" s="5"/>
      <c r="L237" s="28">
        <v>0.1</v>
      </c>
    </row>
    <row r="238" spans="1:12" ht="50" customHeight="1" x14ac:dyDescent="0.35">
      <c r="A238" s="2">
        <v>1236</v>
      </c>
      <c r="B238" s="2" t="s">
        <v>1190</v>
      </c>
      <c r="C238" s="3" t="s">
        <v>1191</v>
      </c>
      <c r="D238" s="22" t="s">
        <v>1192</v>
      </c>
      <c r="E238" s="22" t="s">
        <v>1193</v>
      </c>
      <c r="F238" s="2">
        <v>1</v>
      </c>
      <c r="G238" s="22" t="s">
        <v>1194</v>
      </c>
      <c r="H238" s="2" t="s">
        <v>298</v>
      </c>
      <c r="I238" s="3" t="s">
        <v>299</v>
      </c>
      <c r="J238" s="2" t="s">
        <v>415</v>
      </c>
      <c r="K238" s="3"/>
      <c r="L238" s="28">
        <v>0.1</v>
      </c>
    </row>
    <row r="239" spans="1:12" ht="50" customHeight="1" x14ac:dyDescent="0.35">
      <c r="A239" s="4">
        <v>1237</v>
      </c>
      <c r="B239" s="4" t="s">
        <v>1190</v>
      </c>
      <c r="C239" s="5" t="s">
        <v>1191</v>
      </c>
      <c r="D239" s="23" t="s">
        <v>1195</v>
      </c>
      <c r="E239" s="23" t="s">
        <v>1196</v>
      </c>
      <c r="F239" s="4">
        <v>3</v>
      </c>
      <c r="G239" s="23" t="s">
        <v>1197</v>
      </c>
      <c r="H239" s="4" t="s">
        <v>298</v>
      </c>
      <c r="I239" s="5" t="s">
        <v>299</v>
      </c>
      <c r="J239" s="4" t="s">
        <v>415</v>
      </c>
      <c r="K239" s="5"/>
      <c r="L239" s="28">
        <v>0.1</v>
      </c>
    </row>
    <row r="240" spans="1:12" ht="50" customHeight="1" x14ac:dyDescent="0.35">
      <c r="A240" s="2">
        <v>1238</v>
      </c>
      <c r="B240" s="2" t="s">
        <v>1198</v>
      </c>
      <c r="C240" s="3" t="s">
        <v>1199</v>
      </c>
      <c r="D240" s="22" t="s">
        <v>1200</v>
      </c>
      <c r="E240" s="22" t="s">
        <v>1201</v>
      </c>
      <c r="F240" s="2">
        <v>1</v>
      </c>
      <c r="G240" s="22" t="s">
        <v>1202</v>
      </c>
      <c r="H240" s="2" t="s">
        <v>298</v>
      </c>
      <c r="I240" s="3" t="s">
        <v>299</v>
      </c>
      <c r="J240" s="2" t="s">
        <v>415</v>
      </c>
      <c r="K240" s="3"/>
      <c r="L240" s="28">
        <v>0.1</v>
      </c>
    </row>
    <row r="241" spans="1:12" ht="50" customHeight="1" x14ac:dyDescent="0.35">
      <c r="A241" s="4">
        <v>1239</v>
      </c>
      <c r="B241" s="4" t="s">
        <v>1198</v>
      </c>
      <c r="C241" s="5" t="s">
        <v>1199</v>
      </c>
      <c r="D241" s="23" t="s">
        <v>1203</v>
      </c>
      <c r="E241" s="23" t="s">
        <v>1204</v>
      </c>
      <c r="F241" s="4">
        <v>2</v>
      </c>
      <c r="G241" s="23" t="s">
        <v>1205</v>
      </c>
      <c r="H241" s="4" t="s">
        <v>298</v>
      </c>
      <c r="I241" s="5" t="s">
        <v>299</v>
      </c>
      <c r="J241" s="4" t="s">
        <v>415</v>
      </c>
      <c r="K241" s="5"/>
      <c r="L241" s="28">
        <v>0.1</v>
      </c>
    </row>
    <row r="242" spans="1:12" ht="50" customHeight="1" x14ac:dyDescent="0.35">
      <c r="A242" s="2">
        <v>1240</v>
      </c>
      <c r="B242" s="2" t="s">
        <v>1198</v>
      </c>
      <c r="C242" s="3" t="s">
        <v>1199</v>
      </c>
      <c r="D242" s="22" t="s">
        <v>1206</v>
      </c>
      <c r="E242" s="22" t="s">
        <v>1207</v>
      </c>
      <c r="F242" s="2">
        <v>2</v>
      </c>
      <c r="G242" s="22" t="s">
        <v>1208</v>
      </c>
      <c r="H242" s="2" t="s">
        <v>298</v>
      </c>
      <c r="I242" s="3" t="s">
        <v>299</v>
      </c>
      <c r="J242" s="2" t="s">
        <v>415</v>
      </c>
      <c r="K242" s="3"/>
      <c r="L242" s="28">
        <v>0.1</v>
      </c>
    </row>
    <row r="243" spans="1:12" ht="50" customHeight="1" x14ac:dyDescent="0.35">
      <c r="A243" s="4">
        <v>1241</v>
      </c>
      <c r="B243" s="4" t="s">
        <v>1209</v>
      </c>
      <c r="C243" s="5" t="s">
        <v>1210</v>
      </c>
      <c r="D243" s="23" t="s">
        <v>1211</v>
      </c>
      <c r="E243" s="23" t="s">
        <v>1212</v>
      </c>
      <c r="F243" s="4">
        <v>1</v>
      </c>
      <c r="G243" s="23" t="s">
        <v>1213</v>
      </c>
      <c r="H243" s="4" t="s">
        <v>298</v>
      </c>
      <c r="I243" s="5" t="s">
        <v>299</v>
      </c>
      <c r="J243" s="4" t="s">
        <v>415</v>
      </c>
      <c r="K243" s="5"/>
      <c r="L243" s="28">
        <v>0.1</v>
      </c>
    </row>
    <row r="244" spans="1:12" ht="50" customHeight="1" x14ac:dyDescent="0.35">
      <c r="A244" s="2">
        <v>1242</v>
      </c>
      <c r="B244" s="2" t="s">
        <v>1209</v>
      </c>
      <c r="C244" s="3" t="s">
        <v>1210</v>
      </c>
      <c r="D244" s="22" t="s">
        <v>1214</v>
      </c>
      <c r="E244" s="22" t="s">
        <v>1215</v>
      </c>
      <c r="F244" s="2">
        <v>2</v>
      </c>
      <c r="G244" s="22" t="s">
        <v>1216</v>
      </c>
      <c r="H244" s="2" t="s">
        <v>298</v>
      </c>
      <c r="I244" s="3" t="s">
        <v>299</v>
      </c>
      <c r="J244" s="2" t="s">
        <v>415</v>
      </c>
      <c r="K244" s="3"/>
      <c r="L244" s="28">
        <v>0.1</v>
      </c>
    </row>
    <row r="245" spans="1:12" ht="50" customHeight="1" x14ac:dyDescent="0.35">
      <c r="A245" s="4">
        <v>1243</v>
      </c>
      <c r="B245" s="4" t="s">
        <v>1209</v>
      </c>
      <c r="C245" s="5" t="s">
        <v>1210</v>
      </c>
      <c r="D245" s="23" t="s">
        <v>1217</v>
      </c>
      <c r="E245" s="23" t="s">
        <v>1218</v>
      </c>
      <c r="F245" s="4">
        <v>2</v>
      </c>
      <c r="G245" s="23" t="s">
        <v>1219</v>
      </c>
      <c r="H245" s="4" t="s">
        <v>298</v>
      </c>
      <c r="I245" s="5" t="s">
        <v>299</v>
      </c>
      <c r="J245" s="4" t="s">
        <v>415</v>
      </c>
      <c r="K245" s="5"/>
      <c r="L245" s="28">
        <v>0.1</v>
      </c>
    </row>
    <row r="246" spans="1:12" ht="50" customHeight="1" x14ac:dyDescent="0.35">
      <c r="A246" s="2">
        <v>1244</v>
      </c>
      <c r="B246" s="2" t="s">
        <v>1220</v>
      </c>
      <c r="C246" s="3" t="s">
        <v>1221</v>
      </c>
      <c r="D246" s="22" t="s">
        <v>1222</v>
      </c>
      <c r="E246" s="22" t="s">
        <v>1223</v>
      </c>
      <c r="F246" s="2">
        <v>2</v>
      </c>
      <c r="G246" s="22" t="s">
        <v>1224</v>
      </c>
      <c r="H246" s="2"/>
      <c r="I246" s="3" t="s">
        <v>414</v>
      </c>
      <c r="J246" s="2" t="s">
        <v>415</v>
      </c>
      <c r="K246" s="3"/>
      <c r="L246" s="28">
        <v>0.1</v>
      </c>
    </row>
    <row r="247" spans="1:12" ht="50" customHeight="1" x14ac:dyDescent="0.35">
      <c r="A247" s="4">
        <v>1245</v>
      </c>
      <c r="B247" s="4" t="s">
        <v>1220</v>
      </c>
      <c r="C247" s="5" t="s">
        <v>1221</v>
      </c>
      <c r="D247" s="23" t="s">
        <v>1225</v>
      </c>
      <c r="E247" s="23" t="s">
        <v>1226</v>
      </c>
      <c r="F247" s="4">
        <v>1</v>
      </c>
      <c r="G247" s="23" t="s">
        <v>1227</v>
      </c>
      <c r="H247" s="4" t="s">
        <v>293</v>
      </c>
      <c r="I247" s="5" t="s">
        <v>294</v>
      </c>
      <c r="J247" s="4" t="s">
        <v>415</v>
      </c>
      <c r="K247" s="5"/>
      <c r="L247" s="28">
        <v>0.1</v>
      </c>
    </row>
    <row r="248" spans="1:12" ht="50" customHeight="1" x14ac:dyDescent="0.35">
      <c r="A248" s="2">
        <v>1246</v>
      </c>
      <c r="B248" s="2" t="s">
        <v>1220</v>
      </c>
      <c r="C248" s="3" t="s">
        <v>1221</v>
      </c>
      <c r="D248" s="22" t="s">
        <v>1228</v>
      </c>
      <c r="E248" s="22" t="s">
        <v>1229</v>
      </c>
      <c r="F248" s="2">
        <v>1</v>
      </c>
      <c r="G248" s="22" t="s">
        <v>1230</v>
      </c>
      <c r="H248" s="2" t="s">
        <v>293</v>
      </c>
      <c r="I248" s="3" t="s">
        <v>294</v>
      </c>
      <c r="J248" s="2" t="s">
        <v>415</v>
      </c>
      <c r="K248" s="3"/>
      <c r="L248" s="28">
        <v>0.1</v>
      </c>
    </row>
    <row r="249" spans="1:12" ht="50" customHeight="1" x14ac:dyDescent="0.35">
      <c r="A249" s="4">
        <v>1247</v>
      </c>
      <c r="B249" s="4" t="s">
        <v>1220</v>
      </c>
      <c r="C249" s="5" t="s">
        <v>1221</v>
      </c>
      <c r="D249" s="23" t="s">
        <v>1231</v>
      </c>
      <c r="E249" s="23" t="s">
        <v>1232</v>
      </c>
      <c r="F249" s="4">
        <v>2</v>
      </c>
      <c r="G249" s="23" t="s">
        <v>1233</v>
      </c>
      <c r="H249" s="4" t="s">
        <v>318</v>
      </c>
      <c r="I249" s="5" t="s">
        <v>319</v>
      </c>
      <c r="J249" s="4" t="s">
        <v>415</v>
      </c>
      <c r="K249" s="5"/>
      <c r="L249" s="28">
        <v>0.1</v>
      </c>
    </row>
    <row r="250" spans="1:12" ht="50" customHeight="1" x14ac:dyDescent="0.35">
      <c r="A250" s="2">
        <v>1248</v>
      </c>
      <c r="B250" s="2" t="s">
        <v>1234</v>
      </c>
      <c r="C250" s="3" t="s">
        <v>1235</v>
      </c>
      <c r="D250" s="22" t="s">
        <v>1236</v>
      </c>
      <c r="E250" s="22" t="s">
        <v>1237</v>
      </c>
      <c r="F250" s="2">
        <v>1</v>
      </c>
      <c r="G250" s="22" t="s">
        <v>1238</v>
      </c>
      <c r="H250" s="2"/>
      <c r="I250" s="3" t="s">
        <v>414</v>
      </c>
      <c r="J250" s="2" t="s">
        <v>415</v>
      </c>
      <c r="K250" s="3"/>
      <c r="L250" s="28">
        <v>0.1</v>
      </c>
    </row>
    <row r="251" spans="1:12" ht="50" customHeight="1" x14ac:dyDescent="0.35">
      <c r="A251" s="4">
        <v>1249</v>
      </c>
      <c r="B251" s="4" t="s">
        <v>1234</v>
      </c>
      <c r="C251" s="5" t="s">
        <v>1235</v>
      </c>
      <c r="D251" s="23" t="s">
        <v>1239</v>
      </c>
      <c r="E251" s="23" t="s">
        <v>1240</v>
      </c>
      <c r="F251" s="4">
        <v>2</v>
      </c>
      <c r="G251" s="23" t="s">
        <v>1241</v>
      </c>
      <c r="H251" s="4" t="s">
        <v>313</v>
      </c>
      <c r="I251" s="5" t="s">
        <v>314</v>
      </c>
      <c r="J251" s="4" t="s">
        <v>415</v>
      </c>
      <c r="K251" s="5"/>
      <c r="L251" s="28">
        <v>0.1</v>
      </c>
    </row>
    <row r="252" spans="1:12" ht="50" customHeight="1" x14ac:dyDescent="0.35">
      <c r="A252" s="2">
        <v>1250</v>
      </c>
      <c r="B252" s="2" t="s">
        <v>1234</v>
      </c>
      <c r="C252" s="3" t="s">
        <v>1235</v>
      </c>
      <c r="D252" s="22" t="s">
        <v>1242</v>
      </c>
      <c r="E252" s="22" t="s">
        <v>1243</v>
      </c>
      <c r="F252" s="2">
        <v>2</v>
      </c>
      <c r="G252" s="22" t="s">
        <v>1244</v>
      </c>
      <c r="H252" s="2"/>
      <c r="I252" s="3" t="s">
        <v>414</v>
      </c>
      <c r="J252" s="2" t="s">
        <v>415</v>
      </c>
      <c r="K252" s="3"/>
      <c r="L252" s="28">
        <v>0.1</v>
      </c>
    </row>
    <row r="253" spans="1:12" ht="50" customHeight="1" x14ac:dyDescent="0.35">
      <c r="A253" s="4">
        <v>1251</v>
      </c>
      <c r="B253" s="4" t="s">
        <v>1234</v>
      </c>
      <c r="C253" s="5" t="s">
        <v>1235</v>
      </c>
      <c r="D253" s="23" t="s">
        <v>1245</v>
      </c>
      <c r="E253" s="23" t="s">
        <v>1246</v>
      </c>
      <c r="F253" s="4">
        <v>3</v>
      </c>
      <c r="G253" s="23" t="s">
        <v>1247</v>
      </c>
      <c r="H253" s="4"/>
      <c r="I253" s="5" t="s">
        <v>414</v>
      </c>
      <c r="J253" s="4" t="s">
        <v>415</v>
      </c>
      <c r="K253" s="5"/>
      <c r="L253" s="28">
        <v>0.1</v>
      </c>
    </row>
    <row r="254" spans="1:12" ht="50" customHeight="1" x14ac:dyDescent="0.35">
      <c r="A254" s="2">
        <v>1252</v>
      </c>
      <c r="B254" s="2" t="s">
        <v>1248</v>
      </c>
      <c r="C254" s="3" t="s">
        <v>1249</v>
      </c>
      <c r="D254" s="22" t="s">
        <v>1250</v>
      </c>
      <c r="E254" s="22" t="s">
        <v>1251</v>
      </c>
      <c r="F254" s="2">
        <v>1</v>
      </c>
      <c r="G254" s="22" t="s">
        <v>1252</v>
      </c>
      <c r="H254" s="2" t="s">
        <v>298</v>
      </c>
      <c r="I254" s="3" t="s">
        <v>299</v>
      </c>
      <c r="J254" s="2" t="s">
        <v>415</v>
      </c>
      <c r="K254" s="3"/>
      <c r="L254" s="28">
        <v>0.1</v>
      </c>
    </row>
    <row r="255" spans="1:12" ht="50" customHeight="1" x14ac:dyDescent="0.35">
      <c r="A255" s="4">
        <v>1253</v>
      </c>
      <c r="B255" s="4" t="s">
        <v>1253</v>
      </c>
      <c r="C255" s="5" t="s">
        <v>1254</v>
      </c>
      <c r="D255" s="23" t="s">
        <v>1255</v>
      </c>
      <c r="E255" s="23" t="s">
        <v>1256</v>
      </c>
      <c r="F255" s="4">
        <v>1</v>
      </c>
      <c r="G255" s="23" t="s">
        <v>1257</v>
      </c>
      <c r="H255" s="4" t="s">
        <v>303</v>
      </c>
      <c r="I255" s="5" t="s">
        <v>304</v>
      </c>
      <c r="J255" s="4" t="s">
        <v>415</v>
      </c>
      <c r="K255" s="5"/>
      <c r="L255" s="28">
        <v>0.1</v>
      </c>
    </row>
    <row r="256" spans="1:12" ht="50" customHeight="1" x14ac:dyDescent="0.35">
      <c r="A256" s="2">
        <v>1254</v>
      </c>
      <c r="B256" s="2" t="s">
        <v>1253</v>
      </c>
      <c r="C256" s="3" t="s">
        <v>1254</v>
      </c>
      <c r="D256" s="22" t="s">
        <v>1258</v>
      </c>
      <c r="E256" s="22" t="s">
        <v>1259</v>
      </c>
      <c r="F256" s="2">
        <v>1</v>
      </c>
      <c r="G256" s="22" t="s">
        <v>1260</v>
      </c>
      <c r="H256" s="2" t="s">
        <v>303</v>
      </c>
      <c r="I256" s="3" t="s">
        <v>304</v>
      </c>
      <c r="J256" s="2" t="s">
        <v>415</v>
      </c>
      <c r="K256" s="3"/>
      <c r="L256" s="28">
        <v>0.1</v>
      </c>
    </row>
    <row r="257" spans="1:12" ht="50" customHeight="1" x14ac:dyDescent="0.35">
      <c r="A257" s="4">
        <v>1255</v>
      </c>
      <c r="B257" s="4" t="s">
        <v>1253</v>
      </c>
      <c r="C257" s="5" t="s">
        <v>1254</v>
      </c>
      <c r="D257" s="23" t="s">
        <v>1261</v>
      </c>
      <c r="E257" s="23" t="s">
        <v>1262</v>
      </c>
      <c r="F257" s="4">
        <v>2</v>
      </c>
      <c r="G257" s="23" t="s">
        <v>1263</v>
      </c>
      <c r="H257" s="4" t="s">
        <v>298</v>
      </c>
      <c r="I257" s="5" t="s">
        <v>299</v>
      </c>
      <c r="J257" s="4" t="s">
        <v>415</v>
      </c>
      <c r="K257" s="5"/>
      <c r="L257" s="28">
        <v>0.1</v>
      </c>
    </row>
    <row r="258" spans="1:12" ht="50" customHeight="1" x14ac:dyDescent="0.35">
      <c r="A258" s="2">
        <v>1256</v>
      </c>
      <c r="B258" s="2" t="s">
        <v>1253</v>
      </c>
      <c r="C258" s="3" t="s">
        <v>1254</v>
      </c>
      <c r="D258" s="22" t="s">
        <v>1264</v>
      </c>
      <c r="E258" s="22" t="s">
        <v>1265</v>
      </c>
      <c r="F258" s="2">
        <v>2</v>
      </c>
      <c r="G258" s="22" t="s">
        <v>961</v>
      </c>
      <c r="H258" s="2" t="s">
        <v>303</v>
      </c>
      <c r="I258" s="3" t="s">
        <v>304</v>
      </c>
      <c r="J258" s="2" t="s">
        <v>415</v>
      </c>
      <c r="K258" s="3"/>
      <c r="L258" s="28">
        <v>0.1</v>
      </c>
    </row>
    <row r="259" spans="1:12" ht="50" customHeight="1" x14ac:dyDescent="0.35">
      <c r="A259" s="4">
        <v>1257</v>
      </c>
      <c r="B259" s="4" t="s">
        <v>1266</v>
      </c>
      <c r="C259" s="5" t="s">
        <v>1267</v>
      </c>
      <c r="D259" s="23" t="s">
        <v>1268</v>
      </c>
      <c r="E259" s="23" t="s">
        <v>1269</v>
      </c>
      <c r="F259" s="4">
        <v>1</v>
      </c>
      <c r="G259" s="23" t="s">
        <v>1270</v>
      </c>
      <c r="H259" s="4" t="s">
        <v>313</v>
      </c>
      <c r="I259" s="5" t="s">
        <v>314</v>
      </c>
      <c r="J259" s="4" t="s">
        <v>415</v>
      </c>
      <c r="K259" s="5"/>
      <c r="L259" s="28">
        <v>0.1</v>
      </c>
    </row>
    <row r="260" spans="1:12" ht="50" customHeight="1" x14ac:dyDescent="0.35">
      <c r="A260" s="2">
        <v>1258</v>
      </c>
      <c r="B260" s="2" t="s">
        <v>1266</v>
      </c>
      <c r="C260" s="3" t="s">
        <v>1267</v>
      </c>
      <c r="D260" s="22" t="s">
        <v>1271</v>
      </c>
      <c r="E260" s="22" t="s">
        <v>1272</v>
      </c>
      <c r="F260" s="2">
        <v>1</v>
      </c>
      <c r="G260" s="22" t="s">
        <v>1273</v>
      </c>
      <c r="H260" s="2"/>
      <c r="I260" s="3" t="s">
        <v>414</v>
      </c>
      <c r="J260" s="2" t="s">
        <v>415</v>
      </c>
      <c r="K260" s="3"/>
      <c r="L260" s="28">
        <v>0.1</v>
      </c>
    </row>
    <row r="261" spans="1:12" ht="50" customHeight="1" x14ac:dyDescent="0.35">
      <c r="A261" s="4">
        <v>1259</v>
      </c>
      <c r="B261" s="4" t="s">
        <v>1266</v>
      </c>
      <c r="C261" s="5" t="s">
        <v>1267</v>
      </c>
      <c r="D261" s="23" t="s">
        <v>1274</v>
      </c>
      <c r="E261" s="23" t="s">
        <v>1275</v>
      </c>
      <c r="F261" s="4">
        <v>2</v>
      </c>
      <c r="G261" s="23" t="s">
        <v>1276</v>
      </c>
      <c r="H261" s="4"/>
      <c r="I261" s="5" t="s">
        <v>414</v>
      </c>
      <c r="J261" s="4" t="s">
        <v>415</v>
      </c>
      <c r="K261" s="5"/>
      <c r="L261" s="28">
        <v>0.1</v>
      </c>
    </row>
    <row r="262" spans="1:12" ht="50" customHeight="1" x14ac:dyDescent="0.35">
      <c r="A262" s="2">
        <v>1260</v>
      </c>
      <c r="B262" s="2" t="s">
        <v>1277</v>
      </c>
      <c r="C262" s="3" t="s">
        <v>1278</v>
      </c>
      <c r="D262" s="22" t="s">
        <v>730</v>
      </c>
      <c r="E262" s="22" t="s">
        <v>1279</v>
      </c>
      <c r="F262" s="2">
        <v>1</v>
      </c>
      <c r="G262" s="22" t="s">
        <v>1280</v>
      </c>
      <c r="H262" s="2"/>
      <c r="I262" s="3" t="s">
        <v>414</v>
      </c>
      <c r="J262" s="2" t="s">
        <v>415</v>
      </c>
      <c r="K262" s="3"/>
      <c r="L262" s="28">
        <v>0.1</v>
      </c>
    </row>
    <row r="263" spans="1:12" ht="50" customHeight="1" x14ac:dyDescent="0.35">
      <c r="A263" s="4">
        <v>1261</v>
      </c>
      <c r="B263" s="4" t="s">
        <v>1277</v>
      </c>
      <c r="C263" s="5" t="s">
        <v>1278</v>
      </c>
      <c r="D263" s="23" t="s">
        <v>1281</v>
      </c>
      <c r="E263" s="23" t="s">
        <v>1282</v>
      </c>
      <c r="F263" s="4">
        <v>1</v>
      </c>
      <c r="G263" s="23" t="s">
        <v>1283</v>
      </c>
      <c r="H263" s="4"/>
      <c r="I263" s="5" t="s">
        <v>414</v>
      </c>
      <c r="J263" s="4" t="s">
        <v>415</v>
      </c>
      <c r="K263" s="5"/>
      <c r="L263" s="28">
        <v>0.1</v>
      </c>
    </row>
    <row r="264" spans="1:12" ht="50" customHeight="1" x14ac:dyDescent="0.35">
      <c r="A264" s="2">
        <v>1262</v>
      </c>
      <c r="B264" s="2" t="s">
        <v>1284</v>
      </c>
      <c r="C264" s="3" t="s">
        <v>1285</v>
      </c>
      <c r="D264" s="22" t="s">
        <v>1286</v>
      </c>
      <c r="E264" s="22" t="s">
        <v>1287</v>
      </c>
      <c r="F264" s="2">
        <v>1</v>
      </c>
      <c r="G264" s="22" t="s">
        <v>1288</v>
      </c>
      <c r="H264" s="2"/>
      <c r="I264" s="3" t="s">
        <v>414</v>
      </c>
      <c r="J264" s="2" t="s">
        <v>415</v>
      </c>
      <c r="K264" s="3"/>
      <c r="L264" s="28">
        <v>0.1</v>
      </c>
    </row>
    <row r="265" spans="1:12" ht="50" customHeight="1" x14ac:dyDescent="0.35">
      <c r="A265" s="4">
        <v>1263</v>
      </c>
      <c r="B265" s="4" t="s">
        <v>1284</v>
      </c>
      <c r="C265" s="5" t="s">
        <v>1285</v>
      </c>
      <c r="D265" s="23" t="s">
        <v>1289</v>
      </c>
      <c r="E265" s="23" t="s">
        <v>1290</v>
      </c>
      <c r="F265" s="4">
        <v>1</v>
      </c>
      <c r="G265" s="23" t="s">
        <v>1291</v>
      </c>
      <c r="H265" s="4" t="s">
        <v>298</v>
      </c>
      <c r="I265" s="5" t="s">
        <v>299</v>
      </c>
      <c r="J265" s="4" t="s">
        <v>415</v>
      </c>
      <c r="K265" s="5"/>
      <c r="L265" s="28">
        <v>0.1</v>
      </c>
    </row>
    <row r="266" spans="1:12" ht="50" customHeight="1" x14ac:dyDescent="0.35">
      <c r="A266" s="2">
        <v>1264</v>
      </c>
      <c r="B266" s="2" t="s">
        <v>1284</v>
      </c>
      <c r="C266" s="3" t="s">
        <v>1285</v>
      </c>
      <c r="D266" s="22" t="s">
        <v>1292</v>
      </c>
      <c r="E266" s="22" t="s">
        <v>1293</v>
      </c>
      <c r="F266" s="2">
        <v>3</v>
      </c>
      <c r="G266" s="22" t="s">
        <v>1294</v>
      </c>
      <c r="H266" s="2" t="s">
        <v>338</v>
      </c>
      <c r="I266" s="3" t="s">
        <v>339</v>
      </c>
      <c r="J266" s="2" t="s">
        <v>415</v>
      </c>
      <c r="K266" s="3"/>
      <c r="L266" s="28">
        <v>0.1</v>
      </c>
    </row>
    <row r="267" spans="1:12" ht="50" customHeight="1" x14ac:dyDescent="0.35">
      <c r="A267" s="4">
        <v>1265</v>
      </c>
      <c r="B267" s="4" t="s">
        <v>1295</v>
      </c>
      <c r="C267" s="5" t="s">
        <v>1296</v>
      </c>
      <c r="D267" s="23" t="s">
        <v>1297</v>
      </c>
      <c r="E267" s="23" t="s">
        <v>1298</v>
      </c>
      <c r="F267" s="4">
        <v>2</v>
      </c>
      <c r="G267" s="23" t="s">
        <v>1299</v>
      </c>
      <c r="H267" s="4"/>
      <c r="I267" s="5" t="s">
        <v>414</v>
      </c>
      <c r="J267" s="4" t="s">
        <v>415</v>
      </c>
      <c r="K267" s="5"/>
      <c r="L267" s="28">
        <v>0.1</v>
      </c>
    </row>
    <row r="268" spans="1:12" ht="50" customHeight="1" x14ac:dyDescent="0.35">
      <c r="A268" s="2">
        <v>1266</v>
      </c>
      <c r="B268" s="2" t="s">
        <v>1295</v>
      </c>
      <c r="C268" s="3" t="s">
        <v>1296</v>
      </c>
      <c r="D268" s="22" t="s">
        <v>1300</v>
      </c>
      <c r="E268" s="22" t="s">
        <v>1301</v>
      </c>
      <c r="F268" s="2">
        <v>2</v>
      </c>
      <c r="G268" s="22" t="s">
        <v>1302</v>
      </c>
      <c r="H268" s="2"/>
      <c r="I268" s="3" t="s">
        <v>414</v>
      </c>
      <c r="J268" s="2" t="s">
        <v>415</v>
      </c>
      <c r="K268" s="3"/>
      <c r="L268" s="28">
        <v>0.1</v>
      </c>
    </row>
    <row r="269" spans="1:12" ht="50" customHeight="1" x14ac:dyDescent="0.35">
      <c r="A269" s="4">
        <v>1267</v>
      </c>
      <c r="B269" s="4" t="s">
        <v>1295</v>
      </c>
      <c r="C269" s="5" t="s">
        <v>1296</v>
      </c>
      <c r="D269" s="23" t="s">
        <v>1303</v>
      </c>
      <c r="E269" s="23" t="s">
        <v>1304</v>
      </c>
      <c r="F269" s="4">
        <v>2</v>
      </c>
      <c r="G269" s="23" t="s">
        <v>1305</v>
      </c>
      <c r="H269" s="4"/>
      <c r="I269" s="5" t="s">
        <v>414</v>
      </c>
      <c r="J269" s="4" t="s">
        <v>415</v>
      </c>
      <c r="K269" s="5"/>
      <c r="L269" s="28">
        <v>0.1</v>
      </c>
    </row>
    <row r="270" spans="1:12" ht="50" customHeight="1" x14ac:dyDescent="0.35">
      <c r="A270" s="2">
        <v>1268</v>
      </c>
      <c r="B270" s="2" t="s">
        <v>1306</v>
      </c>
      <c r="C270" s="3" t="s">
        <v>1307</v>
      </c>
      <c r="D270" s="22" t="s">
        <v>1308</v>
      </c>
      <c r="E270" s="22" t="s">
        <v>1309</v>
      </c>
      <c r="F270" s="2">
        <v>1</v>
      </c>
      <c r="G270" s="22" t="s">
        <v>1310</v>
      </c>
      <c r="H270" s="2"/>
      <c r="I270" s="3" t="s">
        <v>414</v>
      </c>
      <c r="J270" s="2" t="s">
        <v>415</v>
      </c>
      <c r="K270" s="3"/>
      <c r="L270" s="28">
        <v>0.1</v>
      </c>
    </row>
    <row r="271" spans="1:12" ht="50" customHeight="1" x14ac:dyDescent="0.35">
      <c r="A271" s="4">
        <v>1269</v>
      </c>
      <c r="B271" s="4" t="s">
        <v>1306</v>
      </c>
      <c r="C271" s="5" t="s">
        <v>1307</v>
      </c>
      <c r="D271" s="23" t="s">
        <v>1311</v>
      </c>
      <c r="E271" s="23" t="s">
        <v>1312</v>
      </c>
      <c r="F271" s="4">
        <v>1</v>
      </c>
      <c r="G271" s="23" t="s">
        <v>1313</v>
      </c>
      <c r="H271" s="4"/>
      <c r="I271" s="5" t="s">
        <v>414</v>
      </c>
      <c r="J271" s="4" t="s">
        <v>415</v>
      </c>
      <c r="K271" s="5"/>
      <c r="L271" s="28">
        <v>0.1</v>
      </c>
    </row>
    <row r="272" spans="1:12" ht="50" customHeight="1" x14ac:dyDescent="0.35">
      <c r="A272" s="2">
        <v>1270</v>
      </c>
      <c r="B272" s="2" t="s">
        <v>1306</v>
      </c>
      <c r="C272" s="3" t="s">
        <v>1307</v>
      </c>
      <c r="D272" s="22" t="s">
        <v>1314</v>
      </c>
      <c r="E272" s="22" t="s">
        <v>1315</v>
      </c>
      <c r="F272" s="2">
        <v>1</v>
      </c>
      <c r="G272" s="22" t="s">
        <v>1316</v>
      </c>
      <c r="H272" s="2" t="s">
        <v>313</v>
      </c>
      <c r="I272" s="3" t="s">
        <v>314</v>
      </c>
      <c r="J272" s="2" t="s">
        <v>415</v>
      </c>
      <c r="K272" s="3"/>
      <c r="L272" s="28">
        <v>0.1</v>
      </c>
    </row>
    <row r="273" spans="1:12" ht="50" customHeight="1" x14ac:dyDescent="0.35">
      <c r="A273" s="4">
        <v>1271</v>
      </c>
      <c r="B273" s="4" t="s">
        <v>1317</v>
      </c>
      <c r="C273" s="5" t="s">
        <v>1318</v>
      </c>
      <c r="D273" s="23" t="s">
        <v>1319</v>
      </c>
      <c r="E273" s="23" t="s">
        <v>1320</v>
      </c>
      <c r="F273" s="4">
        <v>1</v>
      </c>
      <c r="G273" s="23" t="s">
        <v>1321</v>
      </c>
      <c r="H273" s="4"/>
      <c r="I273" s="5" t="s">
        <v>414</v>
      </c>
      <c r="J273" s="4" t="s">
        <v>415</v>
      </c>
      <c r="K273" s="5"/>
      <c r="L273" s="28">
        <v>0.1</v>
      </c>
    </row>
    <row r="274" spans="1:12" ht="50" customHeight="1" x14ac:dyDescent="0.35">
      <c r="A274" s="2">
        <v>1272</v>
      </c>
      <c r="B274" s="2" t="s">
        <v>1317</v>
      </c>
      <c r="C274" s="3" t="s">
        <v>1318</v>
      </c>
      <c r="D274" s="22" t="s">
        <v>1322</v>
      </c>
      <c r="E274" s="22" t="s">
        <v>1323</v>
      </c>
      <c r="F274" s="2">
        <v>1</v>
      </c>
      <c r="G274" s="22" t="s">
        <v>1324</v>
      </c>
      <c r="H274" s="2"/>
      <c r="I274" s="3" t="s">
        <v>414</v>
      </c>
      <c r="J274" s="2" t="s">
        <v>415</v>
      </c>
      <c r="K274" s="3"/>
      <c r="L274" s="28">
        <v>0.1</v>
      </c>
    </row>
    <row r="275" spans="1:12" ht="50" customHeight="1" x14ac:dyDescent="0.35">
      <c r="A275" s="4">
        <v>1273</v>
      </c>
      <c r="B275" s="4" t="s">
        <v>1325</v>
      </c>
      <c r="C275" s="5" t="s">
        <v>1326</v>
      </c>
      <c r="D275" s="23" t="s">
        <v>1327</v>
      </c>
      <c r="E275" s="23" t="s">
        <v>1328</v>
      </c>
      <c r="F275" s="4">
        <v>1</v>
      </c>
      <c r="G275" s="23" t="s">
        <v>1329</v>
      </c>
      <c r="H275" s="4" t="s">
        <v>298</v>
      </c>
      <c r="I275" s="5" t="s">
        <v>299</v>
      </c>
      <c r="J275" s="4" t="s">
        <v>415</v>
      </c>
      <c r="K275" s="5"/>
      <c r="L275" s="28">
        <v>0.1</v>
      </c>
    </row>
    <row r="276" spans="1:12" ht="50" customHeight="1" x14ac:dyDescent="0.35">
      <c r="A276" s="2">
        <v>1274</v>
      </c>
      <c r="B276" s="2" t="s">
        <v>1325</v>
      </c>
      <c r="C276" s="3" t="s">
        <v>1326</v>
      </c>
      <c r="D276" s="22" t="s">
        <v>1330</v>
      </c>
      <c r="E276" s="22" t="s">
        <v>1331</v>
      </c>
      <c r="F276" s="2">
        <v>2</v>
      </c>
      <c r="G276" s="22" t="s">
        <v>1332</v>
      </c>
      <c r="H276" s="2"/>
      <c r="I276" s="3" t="s">
        <v>414</v>
      </c>
      <c r="J276" s="2" t="s">
        <v>415</v>
      </c>
      <c r="K276" s="3"/>
      <c r="L276" s="28">
        <v>0.1</v>
      </c>
    </row>
    <row r="277" spans="1:12" ht="50" customHeight="1" x14ac:dyDescent="0.35">
      <c r="A277" s="4">
        <v>1275</v>
      </c>
      <c r="B277" s="4" t="s">
        <v>1325</v>
      </c>
      <c r="C277" s="5" t="s">
        <v>1326</v>
      </c>
      <c r="D277" s="23" t="s">
        <v>1333</v>
      </c>
      <c r="E277" s="23" t="s">
        <v>1334</v>
      </c>
      <c r="F277" s="4">
        <v>1</v>
      </c>
      <c r="G277" s="23" t="s">
        <v>1335</v>
      </c>
      <c r="H277" s="4" t="s">
        <v>323</v>
      </c>
      <c r="I277" s="5" t="s">
        <v>324</v>
      </c>
      <c r="J277" s="4" t="s">
        <v>415</v>
      </c>
      <c r="K277" s="5"/>
      <c r="L277" s="28">
        <v>0.1</v>
      </c>
    </row>
    <row r="278" spans="1:12" ht="50" customHeight="1" x14ac:dyDescent="0.35">
      <c r="A278" s="2">
        <v>1276</v>
      </c>
      <c r="B278" s="2" t="s">
        <v>1325</v>
      </c>
      <c r="C278" s="3" t="s">
        <v>1326</v>
      </c>
      <c r="D278" s="22" t="s">
        <v>1336</v>
      </c>
      <c r="E278" s="22" t="s">
        <v>1337</v>
      </c>
      <c r="F278" s="2">
        <v>2</v>
      </c>
      <c r="G278" s="22" t="s">
        <v>1338</v>
      </c>
      <c r="H278" s="2" t="s">
        <v>303</v>
      </c>
      <c r="I278" s="3" t="s">
        <v>304</v>
      </c>
      <c r="J278" s="2" t="s">
        <v>415</v>
      </c>
      <c r="K278" s="3"/>
      <c r="L278" s="28">
        <v>0.1</v>
      </c>
    </row>
    <row r="279" spans="1:12" ht="50" customHeight="1" x14ac:dyDescent="0.35">
      <c r="A279" s="4">
        <v>1277</v>
      </c>
      <c r="B279" s="4" t="s">
        <v>1325</v>
      </c>
      <c r="C279" s="5" t="s">
        <v>1326</v>
      </c>
      <c r="D279" s="23" t="s">
        <v>1339</v>
      </c>
      <c r="E279" s="23" t="s">
        <v>1340</v>
      </c>
      <c r="F279" s="4">
        <v>1</v>
      </c>
      <c r="G279" s="23" t="s">
        <v>1341</v>
      </c>
      <c r="H279" s="4" t="s">
        <v>298</v>
      </c>
      <c r="I279" s="5" t="s">
        <v>299</v>
      </c>
      <c r="J279" s="4" t="s">
        <v>415</v>
      </c>
      <c r="K279" s="5"/>
      <c r="L279" s="28">
        <v>0.1</v>
      </c>
    </row>
    <row r="280" spans="1:12" ht="50" customHeight="1" x14ac:dyDescent="0.35">
      <c r="A280" s="2">
        <v>1278</v>
      </c>
      <c r="B280" s="2" t="s">
        <v>1342</v>
      </c>
      <c r="C280" s="3" t="s">
        <v>1343</v>
      </c>
      <c r="D280" s="22" t="s">
        <v>1344</v>
      </c>
      <c r="E280" s="22" t="s">
        <v>1345</v>
      </c>
      <c r="F280" s="2">
        <v>2</v>
      </c>
      <c r="G280" s="22" t="s">
        <v>1346</v>
      </c>
      <c r="H280" s="2" t="s">
        <v>313</v>
      </c>
      <c r="I280" s="3" t="s">
        <v>314</v>
      </c>
      <c r="J280" s="2" t="s">
        <v>415</v>
      </c>
      <c r="K280" s="3"/>
      <c r="L280" s="28">
        <v>0.1</v>
      </c>
    </row>
    <row r="281" spans="1:12" ht="50" customHeight="1" x14ac:dyDescent="0.35">
      <c r="A281" s="4">
        <v>1279</v>
      </c>
      <c r="B281" s="4" t="s">
        <v>1342</v>
      </c>
      <c r="C281" s="5" t="s">
        <v>1343</v>
      </c>
      <c r="D281" s="23" t="s">
        <v>1347</v>
      </c>
      <c r="E281" s="23" t="s">
        <v>1348</v>
      </c>
      <c r="F281" s="4">
        <v>2</v>
      </c>
      <c r="G281" s="23" t="s">
        <v>1349</v>
      </c>
      <c r="H281" s="4" t="s">
        <v>313</v>
      </c>
      <c r="I281" s="5" t="s">
        <v>314</v>
      </c>
      <c r="J281" s="4" t="s">
        <v>415</v>
      </c>
      <c r="K281" s="5"/>
      <c r="L281" s="28">
        <v>0.1</v>
      </c>
    </row>
    <row r="282" spans="1:12" ht="50" customHeight="1" x14ac:dyDescent="0.35">
      <c r="A282" s="2">
        <v>1280</v>
      </c>
      <c r="B282" s="2" t="s">
        <v>1342</v>
      </c>
      <c r="C282" s="3" t="s">
        <v>1343</v>
      </c>
      <c r="D282" s="22" t="s">
        <v>1350</v>
      </c>
      <c r="E282" s="22" t="s">
        <v>1351</v>
      </c>
      <c r="F282" s="2">
        <v>2</v>
      </c>
      <c r="G282" s="22" t="s">
        <v>1352</v>
      </c>
      <c r="H282" s="2" t="s">
        <v>313</v>
      </c>
      <c r="I282" s="3" t="s">
        <v>314</v>
      </c>
      <c r="J282" s="2" t="s">
        <v>415</v>
      </c>
      <c r="K282" s="3"/>
      <c r="L282" s="28">
        <v>0.1</v>
      </c>
    </row>
    <row r="283" spans="1:12" ht="50" customHeight="1" x14ac:dyDescent="0.35">
      <c r="A283" s="4">
        <v>1281</v>
      </c>
      <c r="B283" s="4" t="s">
        <v>1353</v>
      </c>
      <c r="C283" s="5" t="s">
        <v>1354</v>
      </c>
      <c r="D283" s="23" t="s">
        <v>1355</v>
      </c>
      <c r="E283" s="23" t="s">
        <v>1356</v>
      </c>
      <c r="F283" s="4">
        <v>2</v>
      </c>
      <c r="G283" s="23" t="s">
        <v>1357</v>
      </c>
      <c r="H283" s="4" t="s">
        <v>303</v>
      </c>
      <c r="I283" s="5" t="s">
        <v>304</v>
      </c>
      <c r="J283" s="4" t="s">
        <v>415</v>
      </c>
      <c r="K283" s="5"/>
      <c r="L283" s="28">
        <v>0.1</v>
      </c>
    </row>
    <row r="284" spans="1:12" ht="50" customHeight="1" x14ac:dyDescent="0.35">
      <c r="A284" s="2">
        <v>1282</v>
      </c>
      <c r="B284" s="2" t="s">
        <v>1353</v>
      </c>
      <c r="C284" s="3" t="s">
        <v>1354</v>
      </c>
      <c r="D284" s="22" t="s">
        <v>1358</v>
      </c>
      <c r="E284" s="22" t="s">
        <v>1359</v>
      </c>
      <c r="F284" s="2">
        <v>1</v>
      </c>
      <c r="G284" s="22" t="s">
        <v>1360</v>
      </c>
      <c r="H284" s="2"/>
      <c r="I284" s="3" t="s">
        <v>414</v>
      </c>
      <c r="J284" s="2" t="s">
        <v>415</v>
      </c>
      <c r="K284" s="3"/>
      <c r="L284" s="28">
        <v>0.1</v>
      </c>
    </row>
    <row r="285" spans="1:12" ht="50" customHeight="1" x14ac:dyDescent="0.35">
      <c r="A285" s="4">
        <v>1283</v>
      </c>
      <c r="B285" s="4" t="s">
        <v>1353</v>
      </c>
      <c r="C285" s="5" t="s">
        <v>1354</v>
      </c>
      <c r="D285" s="23" t="s">
        <v>1361</v>
      </c>
      <c r="E285" s="23" t="s">
        <v>1362</v>
      </c>
      <c r="F285" s="4">
        <v>3</v>
      </c>
      <c r="G285" s="23" t="s">
        <v>1363</v>
      </c>
      <c r="H285" s="4"/>
      <c r="I285" s="5" t="s">
        <v>414</v>
      </c>
      <c r="J285" s="4" t="s">
        <v>415</v>
      </c>
      <c r="K285" s="5"/>
      <c r="L285" s="28">
        <v>0.1</v>
      </c>
    </row>
    <row r="286" spans="1:12" ht="50" customHeight="1" x14ac:dyDescent="0.35">
      <c r="A286" s="2">
        <v>1284</v>
      </c>
      <c r="B286" s="2" t="s">
        <v>1353</v>
      </c>
      <c r="C286" s="3" t="s">
        <v>1354</v>
      </c>
      <c r="D286" s="22" t="s">
        <v>1364</v>
      </c>
      <c r="E286" s="22" t="s">
        <v>1365</v>
      </c>
      <c r="F286" s="2">
        <v>2</v>
      </c>
      <c r="G286" s="22" t="s">
        <v>1366</v>
      </c>
      <c r="H286" s="2"/>
      <c r="I286" s="3" t="s">
        <v>414</v>
      </c>
      <c r="J286" s="2" t="s">
        <v>415</v>
      </c>
      <c r="K286" s="3"/>
      <c r="L286" s="28">
        <v>0.1</v>
      </c>
    </row>
    <row r="287" spans="1:12" ht="50" customHeight="1" x14ac:dyDescent="0.35">
      <c r="A287" s="4">
        <v>1285</v>
      </c>
      <c r="B287" s="4" t="s">
        <v>1367</v>
      </c>
      <c r="C287" s="5" t="s">
        <v>1368</v>
      </c>
      <c r="D287" s="23" t="s">
        <v>1369</v>
      </c>
      <c r="E287" s="23" t="s">
        <v>1370</v>
      </c>
      <c r="F287" s="4">
        <v>1</v>
      </c>
      <c r="G287" s="23" t="s">
        <v>1371</v>
      </c>
      <c r="H287" s="4" t="s">
        <v>338</v>
      </c>
      <c r="I287" s="5" t="s">
        <v>339</v>
      </c>
      <c r="J287" s="4" t="s">
        <v>415</v>
      </c>
      <c r="K287" s="5"/>
      <c r="L287" s="28">
        <v>0.1</v>
      </c>
    </row>
    <row r="288" spans="1:12" ht="50" customHeight="1" x14ac:dyDescent="0.35">
      <c r="A288" s="2">
        <v>1286</v>
      </c>
      <c r="B288" s="2" t="s">
        <v>1367</v>
      </c>
      <c r="C288" s="3" t="s">
        <v>1368</v>
      </c>
      <c r="D288" s="22" t="s">
        <v>1372</v>
      </c>
      <c r="E288" s="22" t="s">
        <v>1373</v>
      </c>
      <c r="F288" s="2">
        <v>1</v>
      </c>
      <c r="G288" s="22" t="s">
        <v>1374</v>
      </c>
      <c r="H288" s="2"/>
      <c r="I288" s="3" t="s">
        <v>414</v>
      </c>
      <c r="J288" s="2" t="s">
        <v>415</v>
      </c>
      <c r="K288" s="3"/>
      <c r="L288" s="28">
        <v>0.1</v>
      </c>
    </row>
    <row r="289" spans="1:12" ht="50" customHeight="1" x14ac:dyDescent="0.35">
      <c r="A289" s="4">
        <v>1287</v>
      </c>
      <c r="B289" s="4" t="s">
        <v>1367</v>
      </c>
      <c r="C289" s="5" t="s">
        <v>1368</v>
      </c>
      <c r="D289" s="23" t="s">
        <v>1375</v>
      </c>
      <c r="E289" s="23" t="s">
        <v>1376</v>
      </c>
      <c r="F289" s="4">
        <v>2</v>
      </c>
      <c r="G289" s="23" t="s">
        <v>1377</v>
      </c>
      <c r="H289" s="4" t="s">
        <v>313</v>
      </c>
      <c r="I289" s="5" t="s">
        <v>314</v>
      </c>
      <c r="J289" s="4" t="s">
        <v>415</v>
      </c>
      <c r="K289" s="5"/>
      <c r="L289" s="28">
        <v>0.1</v>
      </c>
    </row>
    <row r="290" spans="1:12" ht="50" customHeight="1" x14ac:dyDescent="0.35">
      <c r="A290" s="2">
        <v>1288</v>
      </c>
      <c r="B290" s="2" t="s">
        <v>1378</v>
      </c>
      <c r="C290" s="3" t="s">
        <v>1379</v>
      </c>
      <c r="D290" s="22" t="s">
        <v>1380</v>
      </c>
      <c r="E290" s="22" t="s">
        <v>1381</v>
      </c>
      <c r="F290" s="2">
        <v>1</v>
      </c>
      <c r="G290" s="22" t="s">
        <v>1382</v>
      </c>
      <c r="H290" s="2" t="s">
        <v>303</v>
      </c>
      <c r="I290" s="3" t="s">
        <v>304</v>
      </c>
      <c r="J290" s="2" t="s">
        <v>415</v>
      </c>
      <c r="K290" s="3"/>
      <c r="L290" s="28">
        <v>0.1</v>
      </c>
    </row>
    <row r="291" spans="1:12" ht="50" customHeight="1" x14ac:dyDescent="0.35">
      <c r="A291" s="4">
        <v>1289</v>
      </c>
      <c r="B291" s="4" t="s">
        <v>1378</v>
      </c>
      <c r="C291" s="5" t="s">
        <v>1379</v>
      </c>
      <c r="D291" s="23" t="s">
        <v>1383</v>
      </c>
      <c r="E291" s="23" t="s">
        <v>1384</v>
      </c>
      <c r="F291" s="4">
        <v>1</v>
      </c>
      <c r="G291" s="23" t="s">
        <v>1385</v>
      </c>
      <c r="H291" s="4" t="s">
        <v>303</v>
      </c>
      <c r="I291" s="5" t="s">
        <v>304</v>
      </c>
      <c r="J291" s="4" t="s">
        <v>415</v>
      </c>
      <c r="K291" s="5"/>
      <c r="L291" s="28">
        <v>0.1</v>
      </c>
    </row>
    <row r="292" spans="1:12" ht="50" customHeight="1" x14ac:dyDescent="0.35">
      <c r="A292" s="2">
        <v>1290</v>
      </c>
      <c r="B292" s="2" t="s">
        <v>1378</v>
      </c>
      <c r="C292" s="3" t="s">
        <v>1379</v>
      </c>
      <c r="D292" s="22" t="s">
        <v>1386</v>
      </c>
      <c r="E292" s="22" t="s">
        <v>1387</v>
      </c>
      <c r="F292" s="2">
        <v>2</v>
      </c>
      <c r="G292" s="22" t="s">
        <v>1388</v>
      </c>
      <c r="H292" s="2" t="s">
        <v>293</v>
      </c>
      <c r="I292" s="3" t="s">
        <v>294</v>
      </c>
      <c r="J292" s="2" t="s">
        <v>415</v>
      </c>
      <c r="K292" s="3"/>
      <c r="L292" s="28">
        <v>0.1</v>
      </c>
    </row>
    <row r="293" spans="1:12" ht="50" customHeight="1" x14ac:dyDescent="0.35">
      <c r="A293" s="4">
        <v>1291</v>
      </c>
      <c r="B293" s="4" t="s">
        <v>1389</v>
      </c>
      <c r="C293" s="5" t="s">
        <v>1390</v>
      </c>
      <c r="D293" s="23" t="s">
        <v>1391</v>
      </c>
      <c r="E293" s="23" t="s">
        <v>1392</v>
      </c>
      <c r="F293" s="4">
        <v>1</v>
      </c>
      <c r="G293" s="23" t="s">
        <v>1393</v>
      </c>
      <c r="H293" s="4" t="s">
        <v>303</v>
      </c>
      <c r="I293" s="5" t="s">
        <v>304</v>
      </c>
      <c r="J293" s="4" t="s">
        <v>415</v>
      </c>
      <c r="K293" s="5"/>
      <c r="L293" s="28">
        <v>0.1</v>
      </c>
    </row>
    <row r="294" spans="1:12" ht="50" customHeight="1" x14ac:dyDescent="0.35">
      <c r="A294" s="2">
        <v>1292</v>
      </c>
      <c r="B294" s="2" t="s">
        <v>1389</v>
      </c>
      <c r="C294" s="3" t="s">
        <v>1390</v>
      </c>
      <c r="D294" s="22" t="s">
        <v>1394</v>
      </c>
      <c r="E294" s="22" t="s">
        <v>1395</v>
      </c>
      <c r="F294" s="2">
        <v>1</v>
      </c>
      <c r="G294" s="22" t="s">
        <v>1396</v>
      </c>
      <c r="H294" s="2" t="s">
        <v>303</v>
      </c>
      <c r="I294" s="3" t="s">
        <v>304</v>
      </c>
      <c r="J294" s="2" t="s">
        <v>415</v>
      </c>
      <c r="K294" s="3"/>
      <c r="L294" s="28">
        <v>0.1</v>
      </c>
    </row>
    <row r="295" spans="1:12" ht="50" customHeight="1" x14ac:dyDescent="0.35">
      <c r="A295" s="4">
        <v>1293</v>
      </c>
      <c r="B295" s="4" t="s">
        <v>1389</v>
      </c>
      <c r="C295" s="5" t="s">
        <v>1390</v>
      </c>
      <c r="D295" s="23" t="s">
        <v>1397</v>
      </c>
      <c r="E295" s="23" t="s">
        <v>1398</v>
      </c>
      <c r="F295" s="4">
        <v>3</v>
      </c>
      <c r="G295" s="23" t="s">
        <v>1399</v>
      </c>
      <c r="H295" s="4"/>
      <c r="I295" s="5" t="s">
        <v>414</v>
      </c>
      <c r="J295" s="4" t="s">
        <v>415</v>
      </c>
      <c r="K295" s="5"/>
      <c r="L295" s="28">
        <v>0.1</v>
      </c>
    </row>
    <row r="296" spans="1:12" ht="50" customHeight="1" x14ac:dyDescent="0.35">
      <c r="A296" s="2">
        <v>1294</v>
      </c>
      <c r="B296" s="2" t="s">
        <v>1400</v>
      </c>
      <c r="C296" s="3" t="s">
        <v>1401</v>
      </c>
      <c r="D296" s="22" t="s">
        <v>1402</v>
      </c>
      <c r="E296" s="22" t="s">
        <v>1403</v>
      </c>
      <c r="F296" s="2">
        <v>1</v>
      </c>
      <c r="G296" s="22" t="s">
        <v>1404</v>
      </c>
      <c r="H296" s="2" t="s">
        <v>303</v>
      </c>
      <c r="I296" s="3" t="s">
        <v>304</v>
      </c>
      <c r="J296" s="2" t="s">
        <v>415</v>
      </c>
      <c r="K296" s="3"/>
      <c r="L296" s="28">
        <v>0.1</v>
      </c>
    </row>
    <row r="297" spans="1:12" ht="50" customHeight="1" x14ac:dyDescent="0.35">
      <c r="A297" s="4">
        <v>1295</v>
      </c>
      <c r="B297" s="4" t="s">
        <v>1400</v>
      </c>
      <c r="C297" s="5" t="s">
        <v>1401</v>
      </c>
      <c r="D297" s="23" t="s">
        <v>1405</v>
      </c>
      <c r="E297" s="23" t="s">
        <v>1406</v>
      </c>
      <c r="F297" s="4">
        <v>2</v>
      </c>
      <c r="G297" s="23" t="s">
        <v>1407</v>
      </c>
      <c r="H297" s="4" t="s">
        <v>303</v>
      </c>
      <c r="I297" s="5" t="s">
        <v>304</v>
      </c>
      <c r="J297" s="4" t="s">
        <v>415</v>
      </c>
      <c r="K297" s="5"/>
      <c r="L297" s="28">
        <v>0.1</v>
      </c>
    </row>
    <row r="298" spans="1:12" ht="50" customHeight="1" x14ac:dyDescent="0.35">
      <c r="A298" s="2">
        <v>1296</v>
      </c>
      <c r="B298" s="2" t="s">
        <v>1400</v>
      </c>
      <c r="C298" s="3" t="s">
        <v>1401</v>
      </c>
      <c r="D298" s="22" t="s">
        <v>1408</v>
      </c>
      <c r="E298" s="22" t="s">
        <v>1409</v>
      </c>
      <c r="F298" s="2">
        <v>2</v>
      </c>
      <c r="G298" s="22" t="s">
        <v>1410</v>
      </c>
      <c r="H298" s="2" t="s">
        <v>303</v>
      </c>
      <c r="I298" s="3" t="s">
        <v>304</v>
      </c>
      <c r="J298" s="2" t="s">
        <v>415</v>
      </c>
      <c r="K298" s="3"/>
      <c r="L298" s="28">
        <v>0.1</v>
      </c>
    </row>
    <row r="299" spans="1:12" ht="50" customHeight="1" x14ac:dyDescent="0.35">
      <c r="A299" s="4">
        <v>1297</v>
      </c>
      <c r="B299" s="4" t="s">
        <v>1400</v>
      </c>
      <c r="C299" s="5" t="s">
        <v>1401</v>
      </c>
      <c r="D299" s="23" t="s">
        <v>1411</v>
      </c>
      <c r="E299" s="23" t="s">
        <v>1412</v>
      </c>
      <c r="F299" s="4">
        <v>1</v>
      </c>
      <c r="G299" s="23" t="s">
        <v>1413</v>
      </c>
      <c r="H299" s="4" t="s">
        <v>303</v>
      </c>
      <c r="I299" s="5" t="s">
        <v>304</v>
      </c>
      <c r="J299" s="4" t="s">
        <v>415</v>
      </c>
      <c r="K299" s="5"/>
      <c r="L299" s="28">
        <v>0.1</v>
      </c>
    </row>
    <row r="300" spans="1:12" ht="50" customHeight="1" x14ac:dyDescent="0.35">
      <c r="A300" s="2">
        <v>1298</v>
      </c>
      <c r="B300" s="2" t="s">
        <v>1414</v>
      </c>
      <c r="C300" s="3" t="s">
        <v>1415</v>
      </c>
      <c r="D300" s="22" t="s">
        <v>1416</v>
      </c>
      <c r="E300" s="22" t="s">
        <v>1417</v>
      </c>
      <c r="F300" s="2">
        <v>1</v>
      </c>
      <c r="G300" s="22" t="s">
        <v>1418</v>
      </c>
      <c r="H300" s="2" t="s">
        <v>303</v>
      </c>
      <c r="I300" s="3" t="s">
        <v>304</v>
      </c>
      <c r="J300" s="2" t="s">
        <v>415</v>
      </c>
      <c r="K300" s="3"/>
      <c r="L300" s="28">
        <v>0.1</v>
      </c>
    </row>
    <row r="301" spans="1:12" ht="50" customHeight="1" x14ac:dyDescent="0.35">
      <c r="A301" s="4">
        <v>1299</v>
      </c>
      <c r="B301" s="4" t="s">
        <v>1414</v>
      </c>
      <c r="C301" s="5" t="s">
        <v>1415</v>
      </c>
      <c r="D301" s="23" t="s">
        <v>1419</v>
      </c>
      <c r="E301" s="23" t="s">
        <v>1420</v>
      </c>
      <c r="F301" s="4">
        <v>2</v>
      </c>
      <c r="G301" s="23" t="s">
        <v>1421</v>
      </c>
      <c r="H301" s="4" t="s">
        <v>313</v>
      </c>
      <c r="I301" s="5" t="s">
        <v>314</v>
      </c>
      <c r="J301" s="4" t="s">
        <v>415</v>
      </c>
      <c r="K301" s="5"/>
      <c r="L301" s="28">
        <v>0.1</v>
      </c>
    </row>
    <row r="302" spans="1:12" ht="50" customHeight="1" x14ac:dyDescent="0.35">
      <c r="A302" s="2">
        <v>1300</v>
      </c>
      <c r="B302" s="2" t="s">
        <v>1422</v>
      </c>
      <c r="C302" s="3" t="s">
        <v>1423</v>
      </c>
      <c r="D302" s="22" t="s">
        <v>1424</v>
      </c>
      <c r="E302" s="22" t="s">
        <v>1425</v>
      </c>
      <c r="F302" s="2">
        <v>1</v>
      </c>
      <c r="G302" s="22" t="s">
        <v>1426</v>
      </c>
      <c r="H302" s="2" t="s">
        <v>313</v>
      </c>
      <c r="I302" s="3" t="s">
        <v>314</v>
      </c>
      <c r="J302" s="2" t="s">
        <v>415</v>
      </c>
      <c r="K302" s="3"/>
      <c r="L302" s="28">
        <v>0.1</v>
      </c>
    </row>
    <row r="303" spans="1:12" ht="50" customHeight="1" x14ac:dyDescent="0.35">
      <c r="A303" s="4">
        <v>1301</v>
      </c>
      <c r="B303" s="4" t="s">
        <v>1422</v>
      </c>
      <c r="C303" s="5" t="s">
        <v>1423</v>
      </c>
      <c r="D303" s="23" t="s">
        <v>1427</v>
      </c>
      <c r="E303" s="23" t="s">
        <v>1428</v>
      </c>
      <c r="F303" s="4">
        <v>2</v>
      </c>
      <c r="G303" s="23" t="s">
        <v>1429</v>
      </c>
      <c r="H303" s="4" t="s">
        <v>303</v>
      </c>
      <c r="I303" s="5" t="s">
        <v>304</v>
      </c>
      <c r="J303" s="4" t="s">
        <v>415</v>
      </c>
      <c r="K303" s="5"/>
      <c r="L303" s="28">
        <v>0.1</v>
      </c>
    </row>
    <row r="304" spans="1:12" ht="50" customHeight="1" x14ac:dyDescent="0.35">
      <c r="A304" s="2">
        <v>1302</v>
      </c>
      <c r="B304" s="2" t="s">
        <v>1422</v>
      </c>
      <c r="C304" s="3" t="s">
        <v>1423</v>
      </c>
      <c r="D304" s="22" t="s">
        <v>1430</v>
      </c>
      <c r="E304" s="22" t="s">
        <v>1431</v>
      </c>
      <c r="F304" s="2">
        <v>2</v>
      </c>
      <c r="G304" s="22" t="s">
        <v>1432</v>
      </c>
      <c r="H304" s="2" t="s">
        <v>313</v>
      </c>
      <c r="I304" s="3" t="s">
        <v>314</v>
      </c>
      <c r="J304" s="2" t="s">
        <v>415</v>
      </c>
      <c r="K304" s="3"/>
      <c r="L304" s="28">
        <v>0.1</v>
      </c>
    </row>
    <row r="305" spans="1:12" ht="50" customHeight="1" x14ac:dyDescent="0.35">
      <c r="A305" s="4">
        <v>1303</v>
      </c>
      <c r="B305" s="4" t="s">
        <v>1433</v>
      </c>
      <c r="C305" s="5" t="s">
        <v>1434</v>
      </c>
      <c r="D305" s="23" t="s">
        <v>1435</v>
      </c>
      <c r="E305" s="23" t="s">
        <v>1436</v>
      </c>
      <c r="F305" s="4">
        <v>1</v>
      </c>
      <c r="G305" s="23" t="s">
        <v>1437</v>
      </c>
      <c r="H305" s="4" t="s">
        <v>303</v>
      </c>
      <c r="I305" s="5" t="s">
        <v>304</v>
      </c>
      <c r="J305" s="4" t="s">
        <v>415</v>
      </c>
      <c r="K305" s="5"/>
      <c r="L305" s="28">
        <v>0.1</v>
      </c>
    </row>
    <row r="306" spans="1:12" ht="50" customHeight="1" x14ac:dyDescent="0.35">
      <c r="A306" s="2">
        <v>1304</v>
      </c>
      <c r="B306" s="2" t="s">
        <v>1433</v>
      </c>
      <c r="C306" s="3" t="s">
        <v>1434</v>
      </c>
      <c r="D306" s="22" t="s">
        <v>1438</v>
      </c>
      <c r="E306" s="22" t="s">
        <v>1439</v>
      </c>
      <c r="F306" s="2">
        <v>1</v>
      </c>
      <c r="G306" s="22" t="s">
        <v>1440</v>
      </c>
      <c r="H306" s="2" t="s">
        <v>303</v>
      </c>
      <c r="I306" s="3" t="s">
        <v>304</v>
      </c>
      <c r="J306" s="2" t="s">
        <v>415</v>
      </c>
      <c r="K306" s="3"/>
      <c r="L306" s="28">
        <v>0.1</v>
      </c>
    </row>
    <row r="307" spans="1:12" ht="50" customHeight="1" x14ac:dyDescent="0.35">
      <c r="A307" s="4">
        <v>1305</v>
      </c>
      <c r="B307" s="4" t="s">
        <v>1433</v>
      </c>
      <c r="C307" s="5" t="s">
        <v>1434</v>
      </c>
      <c r="D307" s="23" t="s">
        <v>1441</v>
      </c>
      <c r="E307" s="23" t="s">
        <v>1442</v>
      </c>
      <c r="F307" s="4">
        <v>2</v>
      </c>
      <c r="G307" s="23" t="s">
        <v>1443</v>
      </c>
      <c r="H307" s="4" t="s">
        <v>303</v>
      </c>
      <c r="I307" s="5" t="s">
        <v>304</v>
      </c>
      <c r="J307" s="4" t="s">
        <v>415</v>
      </c>
      <c r="K307" s="5"/>
      <c r="L307" s="28">
        <v>0.1</v>
      </c>
    </row>
    <row r="308" spans="1:12" ht="50" customHeight="1" x14ac:dyDescent="0.35">
      <c r="A308" s="2">
        <v>1306</v>
      </c>
      <c r="B308" s="2" t="s">
        <v>1433</v>
      </c>
      <c r="C308" s="3" t="s">
        <v>1434</v>
      </c>
      <c r="D308" s="22" t="s">
        <v>1444</v>
      </c>
      <c r="E308" s="22" t="s">
        <v>1445</v>
      </c>
      <c r="F308" s="2">
        <v>3</v>
      </c>
      <c r="G308" s="22" t="s">
        <v>1446</v>
      </c>
      <c r="H308" s="2" t="s">
        <v>313</v>
      </c>
      <c r="I308" s="3" t="s">
        <v>314</v>
      </c>
      <c r="J308" s="2" t="s">
        <v>415</v>
      </c>
      <c r="K308" s="3"/>
      <c r="L308" s="28">
        <v>0.1</v>
      </c>
    </row>
    <row r="309" spans="1:12" ht="50" customHeight="1" x14ac:dyDescent="0.35">
      <c r="A309" s="4">
        <v>1307</v>
      </c>
      <c r="B309" s="4" t="s">
        <v>1447</v>
      </c>
      <c r="C309" s="5" t="s">
        <v>1448</v>
      </c>
      <c r="D309" s="23" t="s">
        <v>1449</v>
      </c>
      <c r="E309" s="23" t="s">
        <v>1450</v>
      </c>
      <c r="F309" s="4">
        <v>1</v>
      </c>
      <c r="G309" s="23" t="s">
        <v>1451</v>
      </c>
      <c r="H309" s="4" t="s">
        <v>303</v>
      </c>
      <c r="I309" s="5" t="s">
        <v>304</v>
      </c>
      <c r="J309" s="4" t="s">
        <v>415</v>
      </c>
      <c r="K309" s="5"/>
      <c r="L309" s="28">
        <v>0.1</v>
      </c>
    </row>
    <row r="310" spans="1:12" ht="50" customHeight="1" x14ac:dyDescent="0.35">
      <c r="A310" s="2">
        <v>1308</v>
      </c>
      <c r="B310" s="2" t="s">
        <v>1447</v>
      </c>
      <c r="C310" s="3" t="s">
        <v>1448</v>
      </c>
      <c r="D310" s="22" t="s">
        <v>1452</v>
      </c>
      <c r="E310" s="22" t="s">
        <v>1453</v>
      </c>
      <c r="F310" s="2">
        <v>2</v>
      </c>
      <c r="G310" s="22" t="s">
        <v>1454</v>
      </c>
      <c r="H310" s="2" t="s">
        <v>303</v>
      </c>
      <c r="I310" s="3" t="s">
        <v>304</v>
      </c>
      <c r="J310" s="2" t="s">
        <v>415</v>
      </c>
      <c r="K310" s="3"/>
      <c r="L310" s="28">
        <v>0.1</v>
      </c>
    </row>
    <row r="311" spans="1:12" ht="50" customHeight="1" x14ac:dyDescent="0.35">
      <c r="A311" s="4">
        <v>1309</v>
      </c>
      <c r="B311" s="4" t="s">
        <v>1455</v>
      </c>
      <c r="C311" s="5" t="s">
        <v>1456</v>
      </c>
      <c r="D311" s="23" t="s">
        <v>1457</v>
      </c>
      <c r="E311" s="23" t="s">
        <v>1458</v>
      </c>
      <c r="F311" s="4">
        <v>1</v>
      </c>
      <c r="G311" s="23" t="s">
        <v>1459</v>
      </c>
      <c r="H311" s="4" t="s">
        <v>298</v>
      </c>
      <c r="I311" s="5" t="s">
        <v>299</v>
      </c>
      <c r="J311" s="4" t="s">
        <v>415</v>
      </c>
      <c r="K311" s="5"/>
      <c r="L311" s="28">
        <v>0.1</v>
      </c>
    </row>
    <row r="312" spans="1:12" ht="50" customHeight="1" x14ac:dyDescent="0.35">
      <c r="A312" s="2">
        <v>1310</v>
      </c>
      <c r="B312" s="2" t="s">
        <v>1460</v>
      </c>
      <c r="C312" s="3" t="s">
        <v>1461</v>
      </c>
      <c r="D312" s="22" t="s">
        <v>1462</v>
      </c>
      <c r="E312" s="22" t="s">
        <v>1463</v>
      </c>
      <c r="F312" s="2">
        <v>2</v>
      </c>
      <c r="G312" s="22" t="s">
        <v>1464</v>
      </c>
      <c r="H312" s="2" t="s">
        <v>298</v>
      </c>
      <c r="I312" s="3" t="s">
        <v>299</v>
      </c>
      <c r="J312" s="2" t="s">
        <v>415</v>
      </c>
      <c r="K312" s="3"/>
      <c r="L312" s="28">
        <v>0.1</v>
      </c>
    </row>
    <row r="313" spans="1:12" ht="50" customHeight="1" x14ac:dyDescent="0.35">
      <c r="A313" s="4">
        <v>1311</v>
      </c>
      <c r="B313" s="4" t="s">
        <v>1460</v>
      </c>
      <c r="C313" s="5" t="s">
        <v>1461</v>
      </c>
      <c r="D313" s="23" t="s">
        <v>1465</v>
      </c>
      <c r="E313" s="23" t="s">
        <v>1466</v>
      </c>
      <c r="F313" s="4">
        <v>1</v>
      </c>
      <c r="G313" s="23" t="s">
        <v>1467</v>
      </c>
      <c r="H313" s="4" t="s">
        <v>298</v>
      </c>
      <c r="I313" s="5" t="s">
        <v>299</v>
      </c>
      <c r="J313" s="4" t="s">
        <v>415</v>
      </c>
      <c r="K313" s="5"/>
      <c r="L313" s="28">
        <v>0.1</v>
      </c>
    </row>
    <row r="314" spans="1:12" ht="50" customHeight="1" x14ac:dyDescent="0.35">
      <c r="A314" s="2">
        <v>1312</v>
      </c>
      <c r="B314" s="2" t="s">
        <v>1468</v>
      </c>
      <c r="C314" s="3" t="s">
        <v>1469</v>
      </c>
      <c r="D314" s="22" t="s">
        <v>1470</v>
      </c>
      <c r="E314" s="22" t="s">
        <v>1471</v>
      </c>
      <c r="F314" s="2">
        <v>1</v>
      </c>
      <c r="G314" s="22" t="s">
        <v>1472</v>
      </c>
      <c r="H314" s="2" t="s">
        <v>303</v>
      </c>
      <c r="I314" s="3" t="s">
        <v>304</v>
      </c>
      <c r="J314" s="2" t="s">
        <v>415</v>
      </c>
      <c r="K314" s="3"/>
      <c r="L314" s="28">
        <v>0.1</v>
      </c>
    </row>
    <row r="315" spans="1:12" ht="50" customHeight="1" x14ac:dyDescent="0.35">
      <c r="A315" s="4">
        <v>1313</v>
      </c>
      <c r="B315" s="4" t="s">
        <v>1468</v>
      </c>
      <c r="C315" s="5" t="s">
        <v>1469</v>
      </c>
      <c r="D315" s="23" t="s">
        <v>1473</v>
      </c>
      <c r="E315" s="23" t="s">
        <v>1474</v>
      </c>
      <c r="F315" s="4">
        <v>2</v>
      </c>
      <c r="G315" s="23" t="s">
        <v>1475</v>
      </c>
      <c r="H315" s="4" t="s">
        <v>303</v>
      </c>
      <c r="I315" s="5" t="s">
        <v>304</v>
      </c>
      <c r="J315" s="4" t="s">
        <v>415</v>
      </c>
      <c r="K315" s="5"/>
      <c r="L315" s="28">
        <v>0.1</v>
      </c>
    </row>
    <row r="316" spans="1:12" ht="50" customHeight="1" x14ac:dyDescent="0.35">
      <c r="A316" s="2">
        <v>1314</v>
      </c>
      <c r="B316" s="2" t="s">
        <v>1468</v>
      </c>
      <c r="C316" s="3" t="s">
        <v>1469</v>
      </c>
      <c r="D316" s="22" t="s">
        <v>1476</v>
      </c>
      <c r="E316" s="22" t="s">
        <v>1477</v>
      </c>
      <c r="F316" s="2">
        <v>2</v>
      </c>
      <c r="G316" s="22" t="s">
        <v>1478</v>
      </c>
      <c r="H316" s="2" t="s">
        <v>303</v>
      </c>
      <c r="I316" s="3" t="s">
        <v>304</v>
      </c>
      <c r="J316" s="2" t="s">
        <v>415</v>
      </c>
      <c r="K316" s="3"/>
      <c r="L316" s="28">
        <v>0.1</v>
      </c>
    </row>
    <row r="317" spans="1:12" ht="50" customHeight="1" x14ac:dyDescent="0.35">
      <c r="A317" s="4">
        <v>1315</v>
      </c>
      <c r="B317" s="4" t="s">
        <v>1468</v>
      </c>
      <c r="C317" s="5" t="s">
        <v>1469</v>
      </c>
      <c r="D317" s="23" t="s">
        <v>1479</v>
      </c>
      <c r="E317" s="23" t="s">
        <v>1480</v>
      </c>
      <c r="F317" s="4">
        <v>2</v>
      </c>
      <c r="G317" s="23" t="s">
        <v>1481</v>
      </c>
      <c r="H317" s="4" t="s">
        <v>298</v>
      </c>
      <c r="I317" s="5" t="s">
        <v>299</v>
      </c>
      <c r="J317" s="4" t="s">
        <v>415</v>
      </c>
      <c r="K317" s="5"/>
      <c r="L317" s="28">
        <v>0.1</v>
      </c>
    </row>
    <row r="318" spans="1:12" ht="50" customHeight="1" x14ac:dyDescent="0.35">
      <c r="A318" s="2">
        <v>1316</v>
      </c>
      <c r="B318" s="2" t="s">
        <v>1482</v>
      </c>
      <c r="C318" s="3" t="s">
        <v>1483</v>
      </c>
      <c r="D318" s="22" t="s">
        <v>1484</v>
      </c>
      <c r="E318" s="22" t="s">
        <v>1485</v>
      </c>
      <c r="F318" s="2">
        <v>1</v>
      </c>
      <c r="G318" s="22" t="s">
        <v>1486</v>
      </c>
      <c r="H318" s="2"/>
      <c r="I318" s="3" t="s">
        <v>414</v>
      </c>
      <c r="J318" s="2" t="s">
        <v>415</v>
      </c>
      <c r="K318" s="3"/>
      <c r="L318" s="28">
        <v>0.1</v>
      </c>
    </row>
    <row r="319" spans="1:12" ht="50" customHeight="1" x14ac:dyDescent="0.35">
      <c r="A319" s="4">
        <v>1317</v>
      </c>
      <c r="B319" s="4" t="s">
        <v>1482</v>
      </c>
      <c r="C319" s="5" t="s">
        <v>1483</v>
      </c>
      <c r="D319" s="23" t="s">
        <v>1487</v>
      </c>
      <c r="E319" s="23" t="s">
        <v>1488</v>
      </c>
      <c r="F319" s="4">
        <v>1</v>
      </c>
      <c r="G319" s="23" t="s">
        <v>1489</v>
      </c>
      <c r="H319" s="4"/>
      <c r="I319" s="5" t="s">
        <v>414</v>
      </c>
      <c r="J319" s="4" t="s">
        <v>415</v>
      </c>
      <c r="K319" s="5"/>
      <c r="L319" s="28">
        <v>0.1</v>
      </c>
    </row>
    <row r="320" spans="1:12" ht="50" customHeight="1" x14ac:dyDescent="0.35">
      <c r="A320" s="2">
        <v>1318</v>
      </c>
      <c r="B320" s="2" t="s">
        <v>1482</v>
      </c>
      <c r="C320" s="3" t="s">
        <v>1483</v>
      </c>
      <c r="D320" s="22" t="s">
        <v>1490</v>
      </c>
      <c r="E320" s="22" t="s">
        <v>1491</v>
      </c>
      <c r="F320" s="2">
        <v>2</v>
      </c>
      <c r="G320" s="22" t="s">
        <v>1492</v>
      </c>
      <c r="H320" s="2" t="s">
        <v>298</v>
      </c>
      <c r="I320" s="3" t="s">
        <v>299</v>
      </c>
      <c r="J320" s="2" t="s">
        <v>415</v>
      </c>
      <c r="K320" s="3"/>
      <c r="L320" s="28">
        <v>0.1</v>
      </c>
    </row>
    <row r="321" spans="1:12" ht="50" customHeight="1" x14ac:dyDescent="0.35">
      <c r="A321" s="4">
        <v>1319</v>
      </c>
      <c r="B321" s="4" t="s">
        <v>1482</v>
      </c>
      <c r="C321" s="5" t="s">
        <v>1483</v>
      </c>
      <c r="D321" s="23" t="s">
        <v>1493</v>
      </c>
      <c r="E321" s="23" t="s">
        <v>1494</v>
      </c>
      <c r="F321" s="4">
        <v>3</v>
      </c>
      <c r="G321" s="23" t="s">
        <v>1495</v>
      </c>
      <c r="H321" s="4"/>
      <c r="I321" s="5" t="s">
        <v>414</v>
      </c>
      <c r="J321" s="4" t="s">
        <v>415</v>
      </c>
      <c r="K321" s="5"/>
      <c r="L321" s="28">
        <v>0.1</v>
      </c>
    </row>
    <row r="322" spans="1:12" ht="50" customHeight="1" x14ac:dyDescent="0.35">
      <c r="A322" s="2">
        <v>1320</v>
      </c>
      <c r="B322" s="2" t="s">
        <v>1496</v>
      </c>
      <c r="C322" s="3" t="s">
        <v>1497</v>
      </c>
      <c r="D322" s="22" t="s">
        <v>1498</v>
      </c>
      <c r="E322" s="22" t="s">
        <v>1499</v>
      </c>
      <c r="F322" s="2">
        <v>1</v>
      </c>
      <c r="G322" s="22" t="s">
        <v>1500</v>
      </c>
      <c r="H322" s="2" t="s">
        <v>303</v>
      </c>
      <c r="I322" s="3" t="s">
        <v>304</v>
      </c>
      <c r="J322" s="2" t="s">
        <v>415</v>
      </c>
      <c r="K322" s="3"/>
      <c r="L322" s="28">
        <v>0.1</v>
      </c>
    </row>
    <row r="323" spans="1:12" ht="50" customHeight="1" x14ac:dyDescent="0.35">
      <c r="A323" s="4">
        <v>1321</v>
      </c>
      <c r="B323" s="4" t="s">
        <v>1496</v>
      </c>
      <c r="C323" s="5" t="s">
        <v>1497</v>
      </c>
      <c r="D323" s="23" t="s">
        <v>1501</v>
      </c>
      <c r="E323" s="23" t="s">
        <v>1502</v>
      </c>
      <c r="F323" s="4">
        <v>2</v>
      </c>
      <c r="G323" s="23" t="s">
        <v>1503</v>
      </c>
      <c r="H323" s="4" t="s">
        <v>303</v>
      </c>
      <c r="I323" s="5" t="s">
        <v>304</v>
      </c>
      <c r="J323" s="4" t="s">
        <v>415</v>
      </c>
      <c r="K323" s="5"/>
      <c r="L323" s="28">
        <v>0.1</v>
      </c>
    </row>
    <row r="324" spans="1:12" ht="50" customHeight="1" x14ac:dyDescent="0.35">
      <c r="A324" s="2">
        <v>1322</v>
      </c>
      <c r="B324" s="2" t="s">
        <v>1496</v>
      </c>
      <c r="C324" s="3" t="s">
        <v>1497</v>
      </c>
      <c r="D324" s="22" t="s">
        <v>1504</v>
      </c>
      <c r="E324" s="22" t="s">
        <v>1505</v>
      </c>
      <c r="F324" s="2">
        <v>2</v>
      </c>
      <c r="G324" s="22" t="s">
        <v>1506</v>
      </c>
      <c r="H324" s="2" t="s">
        <v>303</v>
      </c>
      <c r="I324" s="3" t="s">
        <v>304</v>
      </c>
      <c r="J324" s="2" t="s">
        <v>415</v>
      </c>
      <c r="K324" s="3"/>
      <c r="L324" s="28">
        <v>0.1</v>
      </c>
    </row>
    <row r="325" spans="1:12" ht="50" customHeight="1" x14ac:dyDescent="0.35">
      <c r="A325" s="4">
        <v>1323</v>
      </c>
      <c r="B325" s="4" t="s">
        <v>1507</v>
      </c>
      <c r="C325" s="5" t="s">
        <v>1508</v>
      </c>
      <c r="D325" s="23" t="s">
        <v>1509</v>
      </c>
      <c r="E325" s="23" t="s">
        <v>1510</v>
      </c>
      <c r="F325" s="4">
        <v>1</v>
      </c>
      <c r="G325" s="23" t="s">
        <v>1511</v>
      </c>
      <c r="H325" s="4"/>
      <c r="I325" s="5" t="s">
        <v>414</v>
      </c>
      <c r="J325" s="4" t="s">
        <v>415</v>
      </c>
      <c r="K325" s="5"/>
      <c r="L325" s="28">
        <v>0.1</v>
      </c>
    </row>
    <row r="326" spans="1:12" ht="50" customHeight="1" x14ac:dyDescent="0.35">
      <c r="A326" s="2">
        <v>1324</v>
      </c>
      <c r="B326" s="2" t="s">
        <v>1507</v>
      </c>
      <c r="C326" s="3" t="s">
        <v>1508</v>
      </c>
      <c r="D326" s="22" t="s">
        <v>1512</v>
      </c>
      <c r="E326" s="22" t="s">
        <v>1513</v>
      </c>
      <c r="F326" s="2">
        <v>1</v>
      </c>
      <c r="G326" s="22" t="s">
        <v>1514</v>
      </c>
      <c r="H326" s="2"/>
      <c r="I326" s="3" t="s">
        <v>414</v>
      </c>
      <c r="J326" s="2" t="s">
        <v>415</v>
      </c>
      <c r="K326" s="3"/>
      <c r="L326" s="28">
        <v>0.1</v>
      </c>
    </row>
    <row r="327" spans="1:12" ht="50" customHeight="1" x14ac:dyDescent="0.35">
      <c r="A327" s="4">
        <v>1325</v>
      </c>
      <c r="B327" s="4" t="s">
        <v>1515</v>
      </c>
      <c r="C327" s="5" t="s">
        <v>1516</v>
      </c>
      <c r="D327" s="23" t="s">
        <v>1517</v>
      </c>
      <c r="E327" s="23" t="s">
        <v>1518</v>
      </c>
      <c r="F327" s="4">
        <v>1</v>
      </c>
      <c r="G327" s="23" t="s">
        <v>1519</v>
      </c>
      <c r="H327" s="4"/>
      <c r="I327" s="5" t="s">
        <v>414</v>
      </c>
      <c r="J327" s="4" t="s">
        <v>415</v>
      </c>
      <c r="K327" s="5"/>
      <c r="L327" s="28">
        <v>0.1</v>
      </c>
    </row>
    <row r="328" spans="1:12" ht="50" customHeight="1" x14ac:dyDescent="0.35">
      <c r="A328" s="2">
        <v>1326</v>
      </c>
      <c r="B328" s="2" t="s">
        <v>1515</v>
      </c>
      <c r="C328" s="3" t="s">
        <v>1516</v>
      </c>
      <c r="D328" s="22" t="s">
        <v>1520</v>
      </c>
      <c r="E328" s="22" t="s">
        <v>1521</v>
      </c>
      <c r="F328" s="2">
        <v>2</v>
      </c>
      <c r="G328" s="22" t="s">
        <v>1522</v>
      </c>
      <c r="H328" s="2"/>
      <c r="I328" s="3" t="s">
        <v>414</v>
      </c>
      <c r="J328" s="2" t="s">
        <v>415</v>
      </c>
      <c r="K328" s="3"/>
      <c r="L328" s="28">
        <v>0.1</v>
      </c>
    </row>
    <row r="329" spans="1:12" ht="50" customHeight="1" x14ac:dyDescent="0.35">
      <c r="A329" s="4">
        <v>1327</v>
      </c>
      <c r="B329" s="4" t="s">
        <v>1523</v>
      </c>
      <c r="C329" s="5" t="s">
        <v>1524</v>
      </c>
      <c r="D329" s="23" t="s">
        <v>1525</v>
      </c>
      <c r="E329" s="23" t="s">
        <v>1526</v>
      </c>
      <c r="F329" s="4">
        <v>1</v>
      </c>
      <c r="G329" s="23" t="s">
        <v>1527</v>
      </c>
      <c r="H329" s="4"/>
      <c r="I329" s="5" t="s">
        <v>414</v>
      </c>
      <c r="J329" s="4" t="s">
        <v>415</v>
      </c>
      <c r="K329" s="5"/>
      <c r="L329" s="28">
        <v>0.1</v>
      </c>
    </row>
    <row r="330" spans="1:12" ht="50" customHeight="1" x14ac:dyDescent="0.35">
      <c r="A330" s="2">
        <v>1328</v>
      </c>
      <c r="B330" s="2" t="s">
        <v>1523</v>
      </c>
      <c r="C330" s="3" t="s">
        <v>1524</v>
      </c>
      <c r="D330" s="22" t="s">
        <v>1528</v>
      </c>
      <c r="E330" s="22" t="s">
        <v>1529</v>
      </c>
      <c r="F330" s="2">
        <v>1</v>
      </c>
      <c r="G330" s="22" t="s">
        <v>1530</v>
      </c>
      <c r="H330" s="2" t="s">
        <v>338</v>
      </c>
      <c r="I330" s="3" t="s">
        <v>339</v>
      </c>
      <c r="J330" s="2" t="s">
        <v>415</v>
      </c>
      <c r="K330" s="3"/>
      <c r="L330" s="28">
        <v>0.1</v>
      </c>
    </row>
    <row r="331" spans="1:12" ht="50" customHeight="1" x14ac:dyDescent="0.35">
      <c r="A331" s="4">
        <v>1329</v>
      </c>
      <c r="B331" s="4" t="s">
        <v>1523</v>
      </c>
      <c r="C331" s="5" t="s">
        <v>1524</v>
      </c>
      <c r="D331" s="23" t="s">
        <v>1531</v>
      </c>
      <c r="E331" s="23" t="s">
        <v>1532</v>
      </c>
      <c r="F331" s="4">
        <v>2</v>
      </c>
      <c r="G331" s="23" t="s">
        <v>1533</v>
      </c>
      <c r="H331" s="4"/>
      <c r="I331" s="5" t="s">
        <v>414</v>
      </c>
      <c r="J331" s="4" t="s">
        <v>415</v>
      </c>
      <c r="K331" s="5"/>
      <c r="L331" s="28">
        <v>0.1</v>
      </c>
    </row>
    <row r="332" spans="1:12" ht="50" customHeight="1" x14ac:dyDescent="0.35">
      <c r="A332" s="2">
        <v>1330</v>
      </c>
      <c r="B332" s="2" t="s">
        <v>1534</v>
      </c>
      <c r="C332" s="3" t="s">
        <v>1535</v>
      </c>
      <c r="D332" s="22" t="s">
        <v>1536</v>
      </c>
      <c r="E332" s="22" t="s">
        <v>1537</v>
      </c>
      <c r="F332" s="2">
        <v>1</v>
      </c>
      <c r="G332" s="22" t="s">
        <v>1538</v>
      </c>
      <c r="H332" s="2" t="s">
        <v>298</v>
      </c>
      <c r="I332" s="3" t="s">
        <v>299</v>
      </c>
      <c r="J332" s="2" t="s">
        <v>415</v>
      </c>
      <c r="K332" s="3"/>
      <c r="L332" s="28">
        <v>0.1</v>
      </c>
    </row>
    <row r="333" spans="1:12" ht="50" customHeight="1" x14ac:dyDescent="0.35">
      <c r="A333" s="4">
        <v>1331</v>
      </c>
      <c r="B333" s="4" t="s">
        <v>1534</v>
      </c>
      <c r="C333" s="5" t="s">
        <v>1535</v>
      </c>
      <c r="D333" s="23" t="s">
        <v>1539</v>
      </c>
      <c r="E333" s="23" t="s">
        <v>1540</v>
      </c>
      <c r="F333" s="4">
        <v>1</v>
      </c>
      <c r="G333" s="23" t="s">
        <v>1541</v>
      </c>
      <c r="H333" s="4" t="s">
        <v>323</v>
      </c>
      <c r="I333" s="5" t="s">
        <v>324</v>
      </c>
      <c r="J333" s="4" t="s">
        <v>415</v>
      </c>
      <c r="K333" s="5"/>
      <c r="L333" s="28">
        <v>0.1</v>
      </c>
    </row>
    <row r="334" spans="1:12" ht="50" customHeight="1" x14ac:dyDescent="0.35">
      <c r="A334" s="2">
        <v>1332</v>
      </c>
      <c r="B334" s="2" t="s">
        <v>1542</v>
      </c>
      <c r="C334" s="3" t="s">
        <v>1543</v>
      </c>
      <c r="D334" s="22" t="s">
        <v>1544</v>
      </c>
      <c r="E334" s="22" t="s">
        <v>1545</v>
      </c>
      <c r="F334" s="2">
        <v>1</v>
      </c>
      <c r="G334" s="22" t="s">
        <v>1546</v>
      </c>
      <c r="H334" s="2"/>
      <c r="I334" s="3" t="s">
        <v>414</v>
      </c>
      <c r="J334" s="2" t="s">
        <v>415</v>
      </c>
      <c r="K334" s="3"/>
      <c r="L334" s="28">
        <v>0.1</v>
      </c>
    </row>
    <row r="335" spans="1:12" ht="50" customHeight="1" x14ac:dyDescent="0.35">
      <c r="A335" s="4">
        <v>1333</v>
      </c>
      <c r="B335" s="4" t="s">
        <v>1547</v>
      </c>
      <c r="C335" s="5" t="s">
        <v>1548</v>
      </c>
      <c r="D335" s="23" t="s">
        <v>1549</v>
      </c>
      <c r="E335" s="23" t="s">
        <v>1550</v>
      </c>
      <c r="F335" s="4">
        <v>1</v>
      </c>
      <c r="G335" s="23" t="s">
        <v>1551</v>
      </c>
      <c r="H335" s="4"/>
      <c r="I335" s="5" t="s">
        <v>414</v>
      </c>
      <c r="J335" s="4" t="s">
        <v>415</v>
      </c>
      <c r="K335" s="5"/>
      <c r="L335" s="28">
        <v>0.1</v>
      </c>
    </row>
    <row r="336" spans="1:12" ht="50" customHeight="1" x14ac:dyDescent="0.35">
      <c r="A336" s="2">
        <v>1334</v>
      </c>
      <c r="B336" s="2" t="s">
        <v>1552</v>
      </c>
      <c r="C336" s="3" t="s">
        <v>1553</v>
      </c>
      <c r="D336" s="22" t="s">
        <v>1554</v>
      </c>
      <c r="E336" s="22" t="s">
        <v>1555</v>
      </c>
      <c r="F336" s="2">
        <v>1</v>
      </c>
      <c r="G336" s="22" t="s">
        <v>1556</v>
      </c>
      <c r="H336" s="2"/>
      <c r="I336" s="3" t="s">
        <v>414</v>
      </c>
      <c r="J336" s="2" t="s">
        <v>415</v>
      </c>
      <c r="K336" s="3"/>
      <c r="L336" s="28">
        <v>0.1</v>
      </c>
    </row>
    <row r="337" spans="1:12" ht="50" customHeight="1" x14ac:dyDescent="0.35">
      <c r="A337" s="4">
        <v>1335</v>
      </c>
      <c r="B337" s="4" t="s">
        <v>1552</v>
      </c>
      <c r="C337" s="5" t="s">
        <v>1553</v>
      </c>
      <c r="D337" s="23" t="s">
        <v>1557</v>
      </c>
      <c r="E337" s="23" t="s">
        <v>1558</v>
      </c>
      <c r="F337" s="4">
        <v>1</v>
      </c>
      <c r="G337" s="23" t="s">
        <v>1559</v>
      </c>
      <c r="H337" s="4"/>
      <c r="I337" s="5" t="s">
        <v>414</v>
      </c>
      <c r="J337" s="4" t="s">
        <v>415</v>
      </c>
      <c r="K337" s="5"/>
      <c r="L337" s="28">
        <v>0.1</v>
      </c>
    </row>
    <row r="338" spans="1:12" ht="50" customHeight="1" x14ac:dyDescent="0.35">
      <c r="A338" s="2">
        <v>1336</v>
      </c>
      <c r="B338" s="2" t="s">
        <v>1560</v>
      </c>
      <c r="C338" s="3" t="s">
        <v>1561</v>
      </c>
      <c r="D338" s="22" t="s">
        <v>1562</v>
      </c>
      <c r="E338" s="22" t="s">
        <v>1563</v>
      </c>
      <c r="F338" s="2">
        <v>1</v>
      </c>
      <c r="G338" s="22" t="s">
        <v>1564</v>
      </c>
      <c r="H338" s="2" t="s">
        <v>298</v>
      </c>
      <c r="I338" s="3" t="s">
        <v>299</v>
      </c>
      <c r="J338" s="2" t="s">
        <v>415</v>
      </c>
      <c r="K338" s="3"/>
      <c r="L338" s="28">
        <v>0.1</v>
      </c>
    </row>
    <row r="339" spans="1:12" ht="50" customHeight="1" x14ac:dyDescent="0.35">
      <c r="A339" s="4">
        <v>1337</v>
      </c>
      <c r="B339" s="4" t="s">
        <v>1560</v>
      </c>
      <c r="C339" s="5" t="s">
        <v>1561</v>
      </c>
      <c r="D339" s="23" t="s">
        <v>1565</v>
      </c>
      <c r="E339" s="23" t="s">
        <v>1566</v>
      </c>
      <c r="F339" s="4">
        <v>3</v>
      </c>
      <c r="G339" s="23" t="s">
        <v>1567</v>
      </c>
      <c r="H339" s="4"/>
      <c r="I339" s="5" t="s">
        <v>414</v>
      </c>
      <c r="J339" s="4" t="s">
        <v>415</v>
      </c>
      <c r="K339" s="5"/>
      <c r="L339" s="28">
        <v>0.1</v>
      </c>
    </row>
    <row r="340" spans="1:12" ht="50" customHeight="1" x14ac:dyDescent="0.35">
      <c r="A340" s="2">
        <v>1338</v>
      </c>
      <c r="B340" s="2" t="s">
        <v>1568</v>
      </c>
      <c r="C340" s="3" t="s">
        <v>1569</v>
      </c>
      <c r="D340" s="22" t="s">
        <v>1570</v>
      </c>
      <c r="E340" s="22" t="s">
        <v>1571</v>
      </c>
      <c r="F340" s="2">
        <v>1</v>
      </c>
      <c r="G340" s="22" t="s">
        <v>1572</v>
      </c>
      <c r="H340" s="2" t="s">
        <v>298</v>
      </c>
      <c r="I340" s="3" t="s">
        <v>299</v>
      </c>
      <c r="J340" s="2" t="s">
        <v>415</v>
      </c>
      <c r="K340" s="3"/>
      <c r="L340" s="28">
        <v>0.1</v>
      </c>
    </row>
    <row r="341" spans="1:12" ht="50" customHeight="1" x14ac:dyDescent="0.35">
      <c r="A341" s="4">
        <v>1339</v>
      </c>
      <c r="B341" s="4" t="s">
        <v>1568</v>
      </c>
      <c r="C341" s="5" t="s">
        <v>1569</v>
      </c>
      <c r="D341" s="23" t="s">
        <v>1573</v>
      </c>
      <c r="E341" s="23" t="s">
        <v>1574</v>
      </c>
      <c r="F341" s="4">
        <v>3</v>
      </c>
      <c r="G341" s="23" t="s">
        <v>1575</v>
      </c>
      <c r="H341" s="4" t="s">
        <v>313</v>
      </c>
      <c r="I341" s="5" t="s">
        <v>314</v>
      </c>
      <c r="J341" s="4" t="s">
        <v>415</v>
      </c>
      <c r="K341" s="5"/>
      <c r="L341" s="28">
        <v>0.1</v>
      </c>
    </row>
    <row r="342" spans="1:12" ht="50" customHeight="1" x14ac:dyDescent="0.35">
      <c r="A342" s="2">
        <v>1340</v>
      </c>
      <c r="B342" s="2" t="s">
        <v>1576</v>
      </c>
      <c r="C342" s="3" t="s">
        <v>1577</v>
      </c>
      <c r="D342" s="22" t="s">
        <v>1578</v>
      </c>
      <c r="E342" s="22" t="s">
        <v>1579</v>
      </c>
      <c r="F342" s="2">
        <v>1</v>
      </c>
      <c r="G342" s="22" t="s">
        <v>1580</v>
      </c>
      <c r="H342" s="2" t="s">
        <v>313</v>
      </c>
      <c r="I342" s="3" t="s">
        <v>314</v>
      </c>
      <c r="J342" s="2" t="s">
        <v>415</v>
      </c>
      <c r="K342" s="3"/>
      <c r="L342" s="28">
        <v>0.1</v>
      </c>
    </row>
    <row r="343" spans="1:12" ht="50" customHeight="1" x14ac:dyDescent="0.35">
      <c r="A343" s="4">
        <v>1341</v>
      </c>
      <c r="B343" s="4" t="s">
        <v>1576</v>
      </c>
      <c r="C343" s="5" t="s">
        <v>1577</v>
      </c>
      <c r="D343" s="23" t="s">
        <v>1581</v>
      </c>
      <c r="E343" s="23" t="s">
        <v>1582</v>
      </c>
      <c r="F343" s="4">
        <v>1</v>
      </c>
      <c r="G343" s="23" t="s">
        <v>1583</v>
      </c>
      <c r="H343" s="4" t="s">
        <v>328</v>
      </c>
      <c r="I343" s="5" t="s">
        <v>329</v>
      </c>
      <c r="J343" s="4" t="s">
        <v>415</v>
      </c>
      <c r="K343" s="5"/>
      <c r="L343" s="28">
        <v>0.1</v>
      </c>
    </row>
  </sheetData>
  <autoFilter ref="A2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7"/>
  <sheetViews>
    <sheetView workbookViewId="0"/>
  </sheetViews>
  <sheetFormatPr defaultRowHeight="14.5" x14ac:dyDescent="0.35"/>
  <cols>
    <col min="1" max="10" width="22" customWidth="1"/>
  </cols>
  <sheetData>
    <row r="1" spans="1:10" x14ac:dyDescent="0.35">
      <c r="A1" s="29" t="s">
        <v>1584</v>
      </c>
      <c r="B1" s="29" t="s">
        <v>398</v>
      </c>
      <c r="C1" s="29" t="s">
        <v>1585</v>
      </c>
      <c r="D1" s="29" t="s">
        <v>0</v>
      </c>
      <c r="E1" s="29" t="s">
        <v>1586</v>
      </c>
      <c r="F1" s="29" t="s">
        <v>1587</v>
      </c>
      <c r="G1" s="29" t="s">
        <v>122</v>
      </c>
      <c r="H1" s="29" t="s">
        <v>277</v>
      </c>
      <c r="I1" s="29" t="s">
        <v>1588</v>
      </c>
      <c r="J1" s="29" t="s">
        <v>9</v>
      </c>
    </row>
    <row r="2" spans="1:10" x14ac:dyDescent="0.35">
      <c r="A2" s="28" t="s">
        <v>1589</v>
      </c>
      <c r="B2" s="28" t="s">
        <v>1590</v>
      </c>
      <c r="C2" s="28" t="s">
        <v>1591</v>
      </c>
      <c r="D2" s="28" t="s">
        <v>1592</v>
      </c>
      <c r="E2" s="28" t="s">
        <v>1593</v>
      </c>
      <c r="F2" s="28" t="s">
        <v>1594</v>
      </c>
      <c r="G2" s="28" t="s">
        <v>1595</v>
      </c>
      <c r="H2" s="28" t="s">
        <v>1596</v>
      </c>
      <c r="I2" s="28" t="s">
        <v>1597</v>
      </c>
      <c r="J2" s="28" t="s">
        <v>1598</v>
      </c>
    </row>
    <row r="3" spans="1:10" x14ac:dyDescent="0.35">
      <c r="A3" s="28">
        <v>1</v>
      </c>
      <c r="B3" s="28">
        <v>1009</v>
      </c>
      <c r="C3" s="28" t="s">
        <v>1599</v>
      </c>
      <c r="D3" s="28" t="s">
        <v>37</v>
      </c>
      <c r="E3" s="28" t="s">
        <v>1600</v>
      </c>
      <c r="F3" s="28" t="s">
        <v>258</v>
      </c>
      <c r="G3" s="28"/>
      <c r="H3" s="28">
        <v>1</v>
      </c>
      <c r="I3" s="28" t="b">
        <v>1</v>
      </c>
      <c r="J3" s="28" t="s">
        <v>1601</v>
      </c>
    </row>
    <row r="4" spans="1:10" x14ac:dyDescent="0.35">
      <c r="A4" s="28">
        <v>2</v>
      </c>
      <c r="B4" s="28">
        <v>1009</v>
      </c>
      <c r="C4" s="28" t="s">
        <v>1602</v>
      </c>
      <c r="D4" s="28" t="s">
        <v>53</v>
      </c>
      <c r="E4" s="28" t="s">
        <v>1603</v>
      </c>
      <c r="F4" s="28" t="s">
        <v>263</v>
      </c>
      <c r="G4" s="28"/>
      <c r="H4" s="28">
        <v>1</v>
      </c>
      <c r="I4" s="28" t="b">
        <v>1</v>
      </c>
      <c r="J4" s="28" t="s">
        <v>1604</v>
      </c>
    </row>
    <row r="5" spans="1:10" x14ac:dyDescent="0.35">
      <c r="A5" s="28">
        <v>3</v>
      </c>
      <c r="B5" s="28">
        <v>1060</v>
      </c>
      <c r="C5" s="28" t="s">
        <v>1599</v>
      </c>
      <c r="D5" s="28" t="s">
        <v>53</v>
      </c>
      <c r="E5" s="28" t="s">
        <v>1600</v>
      </c>
      <c r="F5" s="28" t="s">
        <v>258</v>
      </c>
      <c r="G5" s="28"/>
      <c r="H5" s="28">
        <v>1</v>
      </c>
      <c r="I5" s="28" t="b">
        <v>1</v>
      </c>
      <c r="J5" s="28" t="s">
        <v>1605</v>
      </c>
    </row>
    <row r="6" spans="1:10" x14ac:dyDescent="0.35">
      <c r="A6" s="28">
        <v>4</v>
      </c>
      <c r="B6" s="28">
        <v>1060</v>
      </c>
      <c r="C6" s="28" t="s">
        <v>1602</v>
      </c>
      <c r="D6" s="28" t="s">
        <v>37</v>
      </c>
      <c r="E6" s="28" t="s">
        <v>1603</v>
      </c>
      <c r="F6" s="28" t="s">
        <v>1606</v>
      </c>
      <c r="G6" s="28"/>
      <c r="H6" s="28">
        <v>1</v>
      </c>
      <c r="I6" s="28" t="b">
        <v>0</v>
      </c>
      <c r="J6" s="28" t="s">
        <v>1607</v>
      </c>
    </row>
    <row r="7" spans="1:10" x14ac:dyDescent="0.35">
      <c r="A7" s="30" t="s">
        <v>1608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9"/>
  <sheetViews>
    <sheetView workbookViewId="0"/>
  </sheetViews>
  <sheetFormatPr defaultRowHeight="14.5" x14ac:dyDescent="0.35"/>
  <cols>
    <col min="1" max="1" width="20" customWidth="1"/>
    <col min="2" max="2" width="55" customWidth="1"/>
  </cols>
  <sheetData>
    <row r="1" spans="1:2" ht="18" x14ac:dyDescent="0.4">
      <c r="A1" s="24" t="s">
        <v>1609</v>
      </c>
    </row>
    <row r="2" spans="1:2" x14ac:dyDescent="0.35">
      <c r="A2" s="25"/>
      <c r="B2" s="25"/>
    </row>
    <row r="3" spans="1:2" x14ac:dyDescent="0.35">
      <c r="A3" s="26" t="s">
        <v>1610</v>
      </c>
      <c r="B3" s="26" t="s">
        <v>1611</v>
      </c>
    </row>
    <row r="4" spans="1:2" x14ac:dyDescent="0.35">
      <c r="A4" s="25" t="s">
        <v>1612</v>
      </c>
      <c r="B4" s="25" t="s">
        <v>1613</v>
      </c>
    </row>
    <row r="5" spans="1:2" x14ac:dyDescent="0.35">
      <c r="A5" s="25" t="s">
        <v>1614</v>
      </c>
      <c r="B5" s="25" t="s">
        <v>1615</v>
      </c>
    </row>
    <row r="6" spans="1:2" x14ac:dyDescent="0.35">
      <c r="A6" s="25" t="s">
        <v>1616</v>
      </c>
      <c r="B6" s="25" t="s">
        <v>1617</v>
      </c>
    </row>
    <row r="7" spans="1:2" x14ac:dyDescent="0.35">
      <c r="A7" s="25" t="s">
        <v>1618</v>
      </c>
      <c r="B7" s="25" t="s">
        <v>1619</v>
      </c>
    </row>
    <row r="8" spans="1:2" x14ac:dyDescent="0.35">
      <c r="A8" s="25" t="s">
        <v>1620</v>
      </c>
      <c r="B8" s="25" t="s">
        <v>1621</v>
      </c>
    </row>
    <row r="9" spans="1:2" x14ac:dyDescent="0.35">
      <c r="A9" s="25" t="s">
        <v>1622</v>
      </c>
      <c r="B9" s="25" t="s">
        <v>1623</v>
      </c>
    </row>
    <row r="10" spans="1:2" x14ac:dyDescent="0.35">
      <c r="A10" s="25" t="s">
        <v>1624</v>
      </c>
      <c r="B10" s="25" t="s">
        <v>1625</v>
      </c>
    </row>
    <row r="11" spans="1:2" x14ac:dyDescent="0.35">
      <c r="A11" s="25" t="s">
        <v>1626</v>
      </c>
      <c r="B11" s="25" t="s">
        <v>1627</v>
      </c>
    </row>
    <row r="12" spans="1:2" x14ac:dyDescent="0.35">
      <c r="A12" s="25"/>
      <c r="B12" s="25"/>
    </row>
    <row r="13" spans="1:2" x14ac:dyDescent="0.35">
      <c r="A13" s="26" t="s">
        <v>1628</v>
      </c>
      <c r="B13" s="26"/>
    </row>
    <row r="14" spans="1:2" x14ac:dyDescent="0.35">
      <c r="A14" s="25" t="s">
        <v>1629</v>
      </c>
      <c r="B14" s="25" t="e">
        <f>auto-tag เบื้องต้น ต้องตรวจสอบความถูกต้อง</f>
        <v>#NAME?</v>
      </c>
    </row>
    <row r="15" spans="1:2" x14ac:dyDescent="0.35">
      <c r="A15" s="25" t="s">
        <v>200</v>
      </c>
      <c r="B15" s="25" t="e">
        <f>string ที่ engine.py return จริง ใช้ map กับ standard_id</f>
        <v>#NAME?</v>
      </c>
    </row>
    <row r="16" spans="1:2" x14ac:dyDescent="0.35">
      <c r="A16" s="25" t="s">
        <v>1630</v>
      </c>
      <c r="B16" s="25"/>
    </row>
    <row r="17" spans="1:2" x14ac:dyDescent="0.35">
      <c r="A17" s="25" t="s">
        <v>70</v>
      </c>
      <c r="B17" s="25"/>
    </row>
    <row r="18" spans="1:2" x14ac:dyDescent="0.35">
      <c r="A18" s="25" t="s">
        <v>122</v>
      </c>
      <c r="B18" s="25"/>
    </row>
    <row r="19" spans="1:2" x14ac:dyDescent="0.35">
      <c r="A19" s="25" t="s">
        <v>1631</v>
      </c>
      <c r="B19" s="25" t="e">
        <f>ช่องว่างไว้ให้ผู้ตรวจเพิ่มความคิดเห็น</f>
        <v>#NAME?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tb_planets</vt:lpstr>
      <vt:lpstr>tb_zodiacs</vt:lpstr>
      <vt:lpstr>tb_houses</vt:lpstr>
      <vt:lpstr>tb_standards</vt:lpstr>
      <vt:lpstr>tb_aspects</vt:lpstr>
      <vt:lpstr>tb_anchor_points</vt:lpstr>
      <vt:lpstr>tb_categories</vt:lpstr>
      <vt:lpstr>tb_pairs</vt:lpstr>
      <vt:lpstr>tb_predictions</vt:lpstr>
      <vt:lpstr>tb_prediction_conditions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sittidath prasertrungruang</cp:lastModifiedBy>
  <dcterms:created xsi:type="dcterms:W3CDTF">2026-05-17T10:32:11Z</dcterms:created>
  <dcterms:modified xsi:type="dcterms:W3CDTF">2026-05-18T03:38:55Z</dcterms:modified>
</cp:coreProperties>
</file>